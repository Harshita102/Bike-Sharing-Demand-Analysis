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ita Gautanm\Downloads\"/>
    </mc:Choice>
  </mc:AlternateContent>
  <xr:revisionPtr revIDLastSave="0" documentId="8_{0E406C5A-6E28-4BB8-A686-20DCA928599B}" xr6:coauthVersionLast="47" xr6:coauthVersionMax="47" xr10:uidLastSave="{00000000-0000-0000-0000-000000000000}"/>
  <bookViews>
    <workbookView xWindow="-108" yWindow="-108" windowWidth="23256" windowHeight="12456" activeTab="3" xr2:uid="{00000000-000D-0000-FFFF-FFFF00000000}"/>
  </bookViews>
  <sheets>
    <sheet name="Dataset3" sheetId="4" r:id="rId1"/>
    <sheet name="Dataset2" sheetId="3" r:id="rId2"/>
    <sheet name="Sheet4" sheetId="5" r:id="rId3"/>
    <sheet name="Sheet5" sheetId="6" r:id="rId4"/>
    <sheet name="Dashboard" sheetId="7" r:id="rId5"/>
    <sheet name="Sheet7" sheetId="8" r:id="rId6"/>
    <sheet name="Sheet8" sheetId="9" r:id="rId7"/>
    <sheet name="Dataset1" sheetId="1" r:id="rId8"/>
  </sheets>
  <definedNames>
    <definedName name="Slicer_time_category">#N/A</definedName>
    <definedName name="Slicer_weather_type">#N/A</definedName>
  </definedNames>
  <calcPr calcId="191029"/>
  <pivotCaches>
    <pivotCache cacheId="3" r:id="rId9"/>
    <pivotCache cacheId="1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2" i="1"/>
</calcChain>
</file>

<file path=xl/sharedStrings.xml><?xml version="1.0" encoding="utf-8"?>
<sst xmlns="http://schemas.openxmlformats.org/spreadsheetml/2006/main" count="81" uniqueCount="45">
  <si>
    <t>instant</t>
  </si>
  <si>
    <t>dteday</t>
  </si>
  <si>
    <t>season</t>
  </si>
  <si>
    <t>yr</t>
  </si>
  <si>
    <t>mnth</t>
  </si>
  <si>
    <t>hr</t>
  </si>
  <si>
    <t>holiday</t>
  </si>
  <si>
    <t>weekday</t>
  </si>
  <si>
    <t>weathersit</t>
  </si>
  <si>
    <t>temp</t>
  </si>
  <si>
    <t>Unnamed: 0</t>
  </si>
  <si>
    <t>atemp</t>
  </si>
  <si>
    <t>hum</t>
  </si>
  <si>
    <t>windspeed</t>
  </si>
  <si>
    <t>casual</t>
  </si>
  <si>
    <t>registered</t>
  </si>
  <si>
    <t>cnt</t>
  </si>
  <si>
    <t>day_type</t>
  </si>
  <si>
    <t>time_category</t>
  </si>
  <si>
    <t>weather_type</t>
  </si>
  <si>
    <t>Row Labels</t>
  </si>
  <si>
    <t>Afternoon</t>
  </si>
  <si>
    <t>Evening</t>
  </si>
  <si>
    <t>Morning</t>
  </si>
  <si>
    <t>Grand Total</t>
  </si>
  <si>
    <t>Sum of cnt</t>
  </si>
  <si>
    <t>Column Labels</t>
  </si>
  <si>
    <t>Clear</t>
  </si>
  <si>
    <t>cloudy</t>
  </si>
  <si>
    <t>Heavy Rain</t>
  </si>
  <si>
    <t>Rain</t>
  </si>
  <si>
    <t>Weekday</t>
  </si>
  <si>
    <t>Weekend</t>
  </si>
  <si>
    <t>Bike Rental Dashboard</t>
  </si>
  <si>
    <t>SLIDER</t>
  </si>
  <si>
    <t>CHART 1</t>
  </si>
  <si>
    <t>CHART 2</t>
  </si>
  <si>
    <t>CHART 3</t>
  </si>
  <si>
    <r>
      <rPr>
        <sz val="10"/>
        <color rgb="FF000000"/>
        <rFont val="Arial"/>
        <family val="2"/>
        <scheme val="minor"/>
      </rPr>
      <t>Peak</t>
    </r>
    <r>
      <rPr>
        <b/>
        <sz val="10"/>
        <color rgb="FF000000"/>
        <rFont val="Arial"/>
        <family val="2"/>
        <scheme val="minor"/>
      </rPr>
      <t xml:space="preserve"> </t>
    </r>
    <r>
      <rPr>
        <sz val="10"/>
        <color rgb="FF000000"/>
        <rFont val="Arial"/>
        <family val="2"/>
        <scheme val="minor"/>
      </rPr>
      <t>usage</t>
    </r>
    <r>
      <rPr>
        <b/>
        <sz val="10"/>
        <color rgb="FF000000"/>
        <rFont val="Arial"/>
        <family val="2"/>
        <scheme val="minor"/>
      </rPr>
      <t xml:space="preserve"> </t>
    </r>
    <r>
      <rPr>
        <sz val="10"/>
        <color rgb="FF000000"/>
        <rFont val="Arial"/>
        <family val="2"/>
        <scheme val="minor"/>
      </rPr>
      <t>in</t>
    </r>
    <r>
      <rPr>
        <b/>
        <sz val="10"/>
        <color rgb="FF000000"/>
        <rFont val="Arial"/>
        <family val="2"/>
        <scheme val="minor"/>
      </rPr>
      <t xml:space="preserve"> </t>
    </r>
    <r>
      <rPr>
        <sz val="10"/>
        <color rgb="FF000000"/>
        <rFont val="Arial"/>
        <family val="2"/>
        <scheme val="minor"/>
      </rPr>
      <t>morning</t>
    </r>
    <r>
      <rPr>
        <b/>
        <sz val="10"/>
        <color rgb="FF000000"/>
        <rFont val="Arial"/>
        <family val="2"/>
        <scheme val="minor"/>
      </rPr>
      <t xml:space="preserve"> </t>
    </r>
    <r>
      <rPr>
        <sz val="10"/>
        <color rgb="FF000000"/>
        <rFont val="Arial"/>
        <family val="2"/>
        <scheme val="minor"/>
      </rPr>
      <t>&amp;</t>
    </r>
    <r>
      <rPr>
        <b/>
        <sz val="10"/>
        <color rgb="FF000000"/>
        <rFont val="Arial"/>
        <family val="2"/>
        <scheme val="minor"/>
      </rPr>
      <t xml:space="preserve"> </t>
    </r>
    <r>
      <rPr>
        <sz val="10"/>
        <color rgb="FF000000"/>
        <rFont val="Arial"/>
        <family val="2"/>
        <scheme val="minor"/>
      </rPr>
      <t>afternoon</t>
    </r>
  </si>
  <si>
    <t>High demand in clear weather</t>
  </si>
  <si>
    <t>Weekday demand higher than weekend</t>
  </si>
  <si>
    <t>InSights:</t>
  </si>
  <si>
    <t>CHART 2:</t>
  </si>
  <si>
    <t>CHART 1:Peak usage in morning &amp;afternoon</t>
  </si>
  <si>
    <t>CHART 3: Weekday vs 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</si>
</sst>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scheme val="minor"/>
    </font>
    <font>
      <sz val="10"/>
      <color theme="1"/>
      <name val="Arial"/>
      <scheme val="minor"/>
    </font>
    <font>
      <sz val="11"/>
      <color theme="1"/>
      <name val="Arial"/>
      <scheme val="minor"/>
    </font>
    <font>
      <b/>
      <sz val="16"/>
      <color rgb="FF000000"/>
      <name val="Arial"/>
      <family val="2"/>
      <scheme val="minor"/>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xf numFmtId="164" fontId="1" fillId="0" borderId="0" xfId="0" applyNumberFormat="1" applyFont="1"/>
    <xf numFmtId="0" fontId="2" fillId="0" borderId="0" xfId="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0" borderId="0" xfId="0" applyFont="1"/>
    <xf numFmtId="0" fontId="5" fillId="0" borderId="0" xfId="0" applyFont="1"/>
    <xf numFmtId="0" fontId="5" fillId="0" borderId="0" xfId="0" applyFont="1" applyAlignment="1">
      <alignment horizontal="left" vertical="center" indent="1"/>
    </xf>
    <xf numFmtId="0" fontId="3" fillId="2" borderId="0" xfId="0" applyFont="1" applyFill="1" applyAlignment="1">
      <alignment horizontal="left" vertical="center"/>
    </xf>
  </cellXfs>
  <cellStyles count="2">
    <cellStyle name="Normal" xfId="0" builtinId="0"/>
    <cellStyle name="Normal 2" xfId="1" xr:uid="{CC13667C-A682-4227-B697-124912DCBA53}"/>
  </cellStyles>
  <dxfs count="0"/>
  <tableStyles count="0" defaultTableStyle="TableStyleMedium2" defaultPivotStyle="PivotStyleLight16"/>
  <colors>
    <mruColors>
      <color rgb="FFC67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[BIKE_SHEET5.xlsx]Sheet5!PivotTable2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 Demand by Time &amp; Weather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Clear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Sheet5!$B$5:$B$8</c:f>
              <c:numCache>
                <c:formatCode>General</c:formatCode>
                <c:ptCount val="3"/>
                <c:pt idx="0">
                  <c:v>9372</c:v>
                </c:pt>
                <c:pt idx="1">
                  <c:v>4690</c:v>
                </c:pt>
                <c:pt idx="2">
                  <c:v>8077</c:v>
                </c:pt>
              </c:numCache>
            </c:numRef>
          </c:val>
          <c:extLst>
            <c:ext xmlns:c16="http://schemas.microsoft.com/office/drawing/2014/chart" uri="{C3380CC4-5D6E-409C-BE32-E72D297353CC}">
              <c16:uniqueId val="{00000000-9439-4019-92C1-9EFCFBFC548F}"/>
            </c:ext>
          </c:extLst>
        </c:ser>
        <c:ser>
          <c:idx val="1"/>
          <c:order val="1"/>
          <c:tx>
            <c:strRef>
              <c:f>Sheet5!$C$3:$C$4</c:f>
              <c:strCache>
                <c:ptCount val="1"/>
                <c:pt idx="0">
                  <c:v>cloudy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Sheet5!$C$5:$C$8</c:f>
              <c:numCache>
                <c:formatCode>General</c:formatCode>
                <c:ptCount val="3"/>
                <c:pt idx="0">
                  <c:v>4699</c:v>
                </c:pt>
                <c:pt idx="1">
                  <c:v>1583</c:v>
                </c:pt>
                <c:pt idx="2">
                  <c:v>4063</c:v>
                </c:pt>
              </c:numCache>
            </c:numRef>
          </c:val>
          <c:extLst>
            <c:ext xmlns:c16="http://schemas.microsoft.com/office/drawing/2014/chart" uri="{C3380CC4-5D6E-409C-BE32-E72D297353CC}">
              <c16:uniqueId val="{00000001-9439-4019-92C1-9EFCFBFC548F}"/>
            </c:ext>
          </c:extLst>
        </c:ser>
        <c:ser>
          <c:idx val="2"/>
          <c:order val="2"/>
          <c:tx>
            <c:strRef>
              <c:f>Sheet5!$D$3:$D$4</c:f>
              <c:strCache>
                <c:ptCount val="1"/>
                <c:pt idx="0">
                  <c:v>Heavy Rain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Sheet5!$D$5:$D$8</c:f>
              <c:numCache>
                <c:formatCode>General</c:formatCode>
                <c:ptCount val="3"/>
                <c:pt idx="0">
                  <c:v>26</c:v>
                </c:pt>
              </c:numCache>
            </c:numRef>
          </c:val>
          <c:extLst>
            <c:ext xmlns:c16="http://schemas.microsoft.com/office/drawing/2014/chart" uri="{C3380CC4-5D6E-409C-BE32-E72D297353CC}">
              <c16:uniqueId val="{00000002-9439-4019-92C1-9EFCFBFC548F}"/>
            </c:ext>
          </c:extLst>
        </c:ser>
        <c:ser>
          <c:idx val="3"/>
          <c:order val="3"/>
          <c:tx>
            <c:strRef>
              <c:f>Sheet5!$E$3:$E$4</c:f>
              <c:strCache>
                <c:ptCount val="1"/>
                <c:pt idx="0">
                  <c:v>Rain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Sheet5!$E$5:$E$8</c:f>
              <c:numCache>
                <c:formatCode>General</c:formatCode>
                <c:ptCount val="3"/>
                <c:pt idx="0">
                  <c:v>511</c:v>
                </c:pt>
                <c:pt idx="1">
                  <c:v>311</c:v>
                </c:pt>
                <c:pt idx="2">
                  <c:v>550</c:v>
                </c:pt>
              </c:numCache>
            </c:numRef>
          </c:val>
          <c:extLst>
            <c:ext xmlns:c16="http://schemas.microsoft.com/office/drawing/2014/chart" uri="{C3380CC4-5D6E-409C-BE32-E72D297353CC}">
              <c16:uniqueId val="{00000003-9439-4019-92C1-9EFCFBFC548F}"/>
            </c:ext>
          </c:extLst>
        </c:ser>
        <c:dLbls>
          <c:dLblPos val="outEnd"/>
          <c:showLegendKey val="0"/>
          <c:showVal val="1"/>
          <c:showCatName val="0"/>
          <c:showSerName val="0"/>
          <c:showPercent val="0"/>
          <c:showBubbleSize val="0"/>
        </c:dLbls>
        <c:gapWidth val="219"/>
        <c:overlap val="-27"/>
        <c:axId val="591032768"/>
        <c:axId val="591031808"/>
      </c:barChart>
      <c:catAx>
        <c:axId val="5910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1808"/>
        <c:crosses val="autoZero"/>
        <c:auto val="1"/>
        <c:lblAlgn val="ctr"/>
        <c:lblOffset val="100"/>
        <c:noMultiLvlLbl val="0"/>
      </c:catAx>
      <c:valAx>
        <c:axId val="59103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[BIKE_SHEET5.xlsx]Sheet7!PivotTable3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Weather-wise</a:t>
            </a:r>
            <a:r>
              <a:rPr lang="en-IN" baseline="0"/>
              <a:t> Bike Demand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4"/>
          </a:solidFill>
          <a:ln>
            <a:noFill/>
          </a:ln>
          <a:effectLst/>
        </c:spPr>
      </c:pivotFmt>
      <c:pivotFmt>
        <c:idx val="5"/>
        <c:spPr>
          <a:solidFill>
            <a:srgbClr val="FFC000"/>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6048-4EC5-A288-5F52FAEA44A4}"/>
              </c:ext>
            </c:extLst>
          </c:dPt>
          <c:dPt>
            <c:idx val="2"/>
            <c:invertIfNegative val="0"/>
            <c:bubble3D val="0"/>
            <c:spPr>
              <a:solidFill>
                <a:srgbClr val="FFC000"/>
              </a:solidFill>
              <a:ln>
                <a:noFill/>
              </a:ln>
              <a:effectLst/>
            </c:spPr>
            <c:extLst>
              <c:ext xmlns:c16="http://schemas.microsoft.com/office/drawing/2014/chart" uri="{C3380CC4-5D6E-409C-BE32-E72D297353CC}">
                <c16:uniqueId val="{00000003-6048-4EC5-A288-5F52FAEA44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2-6048-4EC5-A288-5F52FAEA44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Clear</c:v>
                </c:pt>
                <c:pt idx="1">
                  <c:v>cloudy</c:v>
                </c:pt>
                <c:pt idx="2">
                  <c:v>Heavy Rain</c:v>
                </c:pt>
                <c:pt idx="3">
                  <c:v>Rain</c:v>
                </c:pt>
              </c:strCache>
            </c:strRef>
          </c:cat>
          <c:val>
            <c:numRef>
              <c:f>Sheet7!$B$4:$B$8</c:f>
              <c:numCache>
                <c:formatCode>General</c:formatCode>
                <c:ptCount val="4"/>
                <c:pt idx="0">
                  <c:v>22139</c:v>
                </c:pt>
                <c:pt idx="1">
                  <c:v>10345</c:v>
                </c:pt>
                <c:pt idx="2">
                  <c:v>26</c:v>
                </c:pt>
                <c:pt idx="3">
                  <c:v>1372</c:v>
                </c:pt>
              </c:numCache>
            </c:numRef>
          </c:val>
          <c:extLst>
            <c:ext xmlns:c16="http://schemas.microsoft.com/office/drawing/2014/chart" uri="{C3380CC4-5D6E-409C-BE32-E72D297353CC}">
              <c16:uniqueId val="{00000000-6048-4EC5-A288-5F52FAEA44A4}"/>
            </c:ext>
          </c:extLst>
        </c:ser>
        <c:dLbls>
          <c:dLblPos val="outEnd"/>
          <c:showLegendKey val="0"/>
          <c:showVal val="1"/>
          <c:showCatName val="0"/>
          <c:showSerName val="0"/>
          <c:showPercent val="0"/>
          <c:showBubbleSize val="0"/>
        </c:dLbls>
        <c:gapWidth val="219"/>
        <c:overlap val="-27"/>
        <c:axId val="535248272"/>
        <c:axId val="535244912"/>
      </c:barChart>
      <c:catAx>
        <c:axId val="535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4912"/>
        <c:crosses val="autoZero"/>
        <c:auto val="1"/>
        <c:lblAlgn val="ctr"/>
        <c:lblOffset val="100"/>
        <c:noMultiLvlLbl val="0"/>
      </c:catAx>
      <c:valAx>
        <c:axId val="5352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[BIKE_SHEET5.xlsx]Sheet8!PivotTable4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Demand:Weekday vs Weekend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74D6"/>
          </a:solidFill>
          <a:ln>
            <a:noFill/>
          </a:ln>
          <a:effectLst/>
        </c:spPr>
      </c:pivotFmt>
      <c:pivotFmt>
        <c:idx val="4"/>
        <c:spPr>
          <a:solidFill>
            <a:srgbClr val="7030A0"/>
          </a:solidFill>
          <a:ln>
            <a:noFill/>
          </a:ln>
          <a:effectLst/>
        </c:spP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Pt>
            <c:idx val="0"/>
            <c:invertIfNegative val="0"/>
            <c:bubble3D val="0"/>
            <c:spPr>
              <a:solidFill>
                <a:srgbClr val="C674D6"/>
              </a:solidFill>
              <a:ln>
                <a:noFill/>
              </a:ln>
              <a:effectLst/>
            </c:spPr>
            <c:extLst>
              <c:ext xmlns:c16="http://schemas.microsoft.com/office/drawing/2014/chart" uri="{C3380CC4-5D6E-409C-BE32-E72D297353CC}">
                <c16:uniqueId val="{00000001-3EBD-4E5F-BE23-44A693BA032B}"/>
              </c:ext>
            </c:extLst>
          </c:dPt>
          <c:dPt>
            <c:idx val="1"/>
            <c:invertIfNegative val="0"/>
            <c:bubble3D val="0"/>
            <c:spPr>
              <a:solidFill>
                <a:srgbClr val="7030A0"/>
              </a:solidFill>
              <a:ln>
                <a:noFill/>
              </a:ln>
              <a:effectLst/>
            </c:spPr>
            <c:extLst>
              <c:ext xmlns:c16="http://schemas.microsoft.com/office/drawing/2014/chart" uri="{C3380CC4-5D6E-409C-BE32-E72D297353CC}">
                <c16:uniqueId val="{00000002-3EBD-4E5F-BE23-44A693BA03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Weekday</c:v>
                </c:pt>
                <c:pt idx="1">
                  <c:v>Weekend</c:v>
                </c:pt>
              </c:strCache>
            </c:strRef>
          </c:cat>
          <c:val>
            <c:numRef>
              <c:f>Sheet8!$B$4:$B$6</c:f>
              <c:numCache>
                <c:formatCode>General</c:formatCode>
                <c:ptCount val="2"/>
                <c:pt idx="0">
                  <c:v>25944</c:v>
                </c:pt>
                <c:pt idx="1">
                  <c:v>7938</c:v>
                </c:pt>
              </c:numCache>
            </c:numRef>
          </c:val>
          <c:extLst>
            <c:ext xmlns:c16="http://schemas.microsoft.com/office/drawing/2014/chart" uri="{C3380CC4-5D6E-409C-BE32-E72D297353CC}">
              <c16:uniqueId val="{00000000-3EBD-4E5F-BE23-44A693BA032B}"/>
            </c:ext>
          </c:extLst>
        </c:ser>
        <c:dLbls>
          <c:dLblPos val="outEnd"/>
          <c:showLegendKey val="0"/>
          <c:showVal val="1"/>
          <c:showCatName val="0"/>
          <c:showSerName val="0"/>
          <c:showPercent val="0"/>
          <c:showBubbleSize val="0"/>
        </c:dLbls>
        <c:gapWidth val="219"/>
        <c:overlap val="-27"/>
        <c:axId val="541629264"/>
        <c:axId val="402078000"/>
      </c:barChart>
      <c:catAx>
        <c:axId val="5416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78000"/>
        <c:crosses val="autoZero"/>
        <c:auto val="1"/>
        <c:lblAlgn val="ctr"/>
        <c:lblOffset val="100"/>
        <c:noMultiLvlLbl val="0"/>
      </c:catAx>
      <c:valAx>
        <c:axId val="40207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2</xdr:row>
      <xdr:rowOff>53340</xdr:rowOff>
    </xdr:from>
    <xdr:to>
      <xdr:col>6</xdr:col>
      <xdr:colOff>556260</xdr:colOff>
      <xdr:row>14</xdr:row>
      <xdr:rowOff>76200</xdr:rowOff>
    </xdr:to>
    <xdr:graphicFrame macro="">
      <xdr:nvGraphicFramePr>
        <xdr:cNvPr id="2" name="Chart 1">
          <a:extLst>
            <a:ext uri="{FF2B5EF4-FFF2-40B4-BE49-F238E27FC236}">
              <a16:creationId xmlns:a16="http://schemas.microsoft.com/office/drawing/2014/main" id="{C50ED66C-1210-4607-A9BA-7B63F4483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38100</xdr:rowOff>
    </xdr:from>
    <xdr:to>
      <xdr:col>15</xdr:col>
      <xdr:colOff>426720</xdr:colOff>
      <xdr:row>14</xdr:row>
      <xdr:rowOff>91440</xdr:rowOff>
    </xdr:to>
    <xdr:graphicFrame macro="">
      <xdr:nvGraphicFramePr>
        <xdr:cNvPr id="3" name="Chart 2">
          <a:extLst>
            <a:ext uri="{FF2B5EF4-FFF2-40B4-BE49-F238E27FC236}">
              <a16:creationId xmlns:a16="http://schemas.microsoft.com/office/drawing/2014/main" id="{3034FBE6-A984-464B-B7B4-20F858D2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320040</xdr:colOff>
      <xdr:row>17</xdr:row>
      <xdr:rowOff>45720</xdr:rowOff>
    </xdr:from>
    <xdr:to>
      <xdr:col>6</xdr:col>
      <xdr:colOff>525780</xdr:colOff>
      <xdr:row>27</xdr:row>
      <xdr:rowOff>137160</xdr:rowOff>
    </xdr:to>
    <xdr:graphicFrame macro="">
      <xdr:nvGraphicFramePr>
        <xdr:cNvPr id="4" name="Chart 3">
          <a:extLst>
            <a:ext uri="{FF2B5EF4-FFF2-40B4-BE49-F238E27FC236}">
              <a16:creationId xmlns:a16="http://schemas.microsoft.com/office/drawing/2014/main" id="{6E914D11-0850-498F-9BD0-C14AB808C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274320</xdr:colOff>
      <xdr:row>17</xdr:row>
      <xdr:rowOff>38101</xdr:rowOff>
    </xdr:from>
    <xdr:to>
      <xdr:col>12</xdr:col>
      <xdr:colOff>251460</xdr:colOff>
      <xdr:row>27</xdr:row>
      <xdr:rowOff>160020</xdr:rowOff>
    </xdr:to>
    <mc:AlternateContent xmlns:mc="http://schemas.openxmlformats.org/markup-compatibility/2006">
      <mc:Choice xmlns:a14="http://schemas.microsoft.com/office/drawing/2010/main" Requires="a14">
        <xdr:graphicFrame macro="">
          <xdr:nvGraphicFramePr>
            <xdr:cNvPr id="5" name="time_category">
              <a:extLst>
                <a:ext uri="{FF2B5EF4-FFF2-40B4-BE49-F238E27FC236}">
                  <a16:creationId xmlns:a16="http://schemas.microsoft.com/office/drawing/2014/main" id="{0C1BE841-7106-4429-8BD4-9BD74DBEEB54}"/>
                </a:ext>
              </a:extLst>
            </xdr:cNvPr>
            <xdr:cNvGraphicFramePr/>
          </xdr:nvGraphicFramePr>
          <xdr:xfrm>
            <a:off x="0" y="0"/>
            <a:ext cx="0" cy="0"/>
          </xdr:xfrm>
          <a:graphic>
            <a:graphicData uri="http://schemas.microsoft.com/office/drawing/2010/slicer">
              <sle:slicer xmlns:sle="http://schemas.microsoft.com/office/drawing/2010/slicer" name="time_category"/>
            </a:graphicData>
          </a:graphic>
        </xdr:graphicFrame>
      </mc:Choice>
      <mc:Fallback>
        <xdr:sp macro="" textlink="">
          <xdr:nvSpPr>
            <xdr:cNvPr id="0" name=""/>
            <xdr:cNvSpPr>
              <a:spLocks noTextEdit="1"/>
            </xdr:cNvSpPr>
          </xdr:nvSpPr>
          <xdr:spPr>
            <a:xfrm>
              <a:off x="5789000" y="2944699"/>
              <a:ext cx="181536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17</xdr:row>
      <xdr:rowOff>30481</xdr:rowOff>
    </xdr:from>
    <xdr:to>
      <xdr:col>16</xdr:col>
      <xdr:colOff>16500</xdr:colOff>
      <xdr:row>27</xdr:row>
      <xdr:rowOff>152400</xdr:rowOff>
    </xdr:to>
    <mc:AlternateContent xmlns:mc="http://schemas.openxmlformats.org/markup-compatibility/2006">
      <mc:Choice xmlns:a14="http://schemas.microsoft.com/office/drawing/2010/main" Requires="a14">
        <xdr:graphicFrame macro="">
          <xdr:nvGraphicFramePr>
            <xdr:cNvPr id="6" name="weather_type">
              <a:extLst>
                <a:ext uri="{FF2B5EF4-FFF2-40B4-BE49-F238E27FC236}">
                  <a16:creationId xmlns:a16="http://schemas.microsoft.com/office/drawing/2014/main" id="{3C463008-0EB2-426C-8078-7166CC352912}"/>
                </a:ext>
              </a:extLst>
            </xdr:cNvPr>
            <xdr:cNvGraphicFramePr/>
          </xdr:nvGraphicFramePr>
          <xdr:xfrm>
            <a:off x="0" y="0"/>
            <a:ext cx="0" cy="0"/>
          </xdr:xfrm>
          <a:graphic>
            <a:graphicData uri="http://schemas.microsoft.com/office/drawing/2010/slicer">
              <sle:slicer xmlns:sle="http://schemas.microsoft.com/office/drawing/2010/slicer" name="weather_type"/>
            </a:graphicData>
          </a:graphic>
        </xdr:graphicFrame>
      </mc:Choice>
      <mc:Fallback>
        <xdr:sp macro="" textlink="">
          <xdr:nvSpPr>
            <xdr:cNvPr id="0" name=""/>
            <xdr:cNvSpPr>
              <a:spLocks noTextEdit="1"/>
            </xdr:cNvSpPr>
          </xdr:nvSpPr>
          <xdr:spPr>
            <a:xfrm>
              <a:off x="8003749" y="2937079"/>
              <a:ext cx="181662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492129976854" createdVersion="8" refreshedVersion="8" minRefreshableVersion="3" recordCount="610" xr:uid="{53174B1E-252F-4FB5-8667-6EB4E7907618}">
  <cacheSource type="worksheet">
    <worksheetSource ref="A1:M611" sheet="Dataset1"/>
  </cacheSource>
  <cacheFields count="13">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acheField>
    <cacheField name="time_category" numFmtId="0">
      <sharedItems count="3">
        <s v="Morning"/>
        <s v="Afternoon"/>
        <s v="Evening"/>
      </sharedItems>
    </cacheField>
    <cacheField name="weather_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598794791666" createdVersion="8" refreshedVersion="8" minRefreshableVersion="3" recordCount="610" xr:uid="{A9098A7F-81FE-4DAA-8F47-72F9516CAEF0}">
  <cacheSource type="worksheet">
    <worksheetSource ref="A1:N611" sheet="Dataset1"/>
  </cacheSource>
  <cacheFields count="14">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ount="2">
        <s v="Weekend"/>
        <s v="Weekday"/>
      </sharedItems>
    </cacheField>
    <cacheField name="time_category" numFmtId="0">
      <sharedItems count="3">
        <s v="Morning"/>
        <s v="Afternoon"/>
        <s v="Evening"/>
      </sharedItems>
    </cacheField>
    <cacheField name="weather_type" numFmtId="0">
      <sharedItems count="4">
        <s v="Clear"/>
        <s v="cloudy"/>
        <s v="Rain"/>
        <s v="Heavy Rain"/>
      </sharedItems>
    </cacheField>
    <cacheField name="cnt" numFmtId="0">
      <sharedItems containsMixedTypes="1" containsNumber="1" containsInteger="1" minValue="1" maxValue="249" count="16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16"/>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 v=""/>
      </sharedItems>
    </cacheField>
  </cacheFields>
  <extLst>
    <ext xmlns:x14="http://schemas.microsoft.com/office/spreadsheetml/2009/9/main" uri="{725AE2AE-9491-48be-B2B4-4EB974FC3084}">
      <x14:pivotCacheDefinition pivotCacheId="935680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s v="Weekend"/>
    <x v="0"/>
    <s v="Clear"/>
  </r>
  <r>
    <n v="2"/>
    <d v="2011-01-01T00:00:00"/>
    <n v="1"/>
    <n v="0"/>
    <n v="1"/>
    <n v="1"/>
    <b v="0"/>
    <n v="6"/>
    <n v="1"/>
    <n v="0.22"/>
    <s v="Weekend"/>
    <x v="0"/>
    <s v="Clear"/>
  </r>
  <r>
    <n v="3"/>
    <d v="2011-01-01T00:00:00"/>
    <n v="1"/>
    <n v="0"/>
    <n v="1"/>
    <n v="2"/>
    <b v="0"/>
    <n v="6"/>
    <n v="1"/>
    <n v="0.22"/>
    <s v="Weekend"/>
    <x v="0"/>
    <s v="Clear"/>
  </r>
  <r>
    <n v="4"/>
    <d v="2011-01-01T00:00:00"/>
    <n v="1"/>
    <n v="0"/>
    <n v="1"/>
    <n v="3"/>
    <b v="0"/>
    <n v="6"/>
    <n v="1"/>
    <n v="0.24"/>
    <s v="Weekend"/>
    <x v="0"/>
    <s v="Clear"/>
  </r>
  <r>
    <n v="5"/>
    <d v="2011-01-01T00:00:00"/>
    <n v="1"/>
    <n v="0"/>
    <n v="1"/>
    <n v="4"/>
    <b v="0"/>
    <n v="6"/>
    <n v="1"/>
    <n v="0.24"/>
    <s v="Weekend"/>
    <x v="0"/>
    <s v="Clear"/>
  </r>
  <r>
    <n v="6"/>
    <d v="2011-01-01T00:00:00"/>
    <n v="1"/>
    <n v="0"/>
    <n v="1"/>
    <n v="5"/>
    <b v="0"/>
    <n v="6"/>
    <n v="2"/>
    <n v="0.24"/>
    <s v="Weekend"/>
    <x v="0"/>
    <s v="cloudy"/>
  </r>
  <r>
    <n v="7"/>
    <d v="2011-01-01T00:00:00"/>
    <n v="1"/>
    <n v="0"/>
    <n v="1"/>
    <n v="6"/>
    <b v="0"/>
    <n v="6"/>
    <n v="1"/>
    <n v="0.22"/>
    <s v="Weekend"/>
    <x v="0"/>
    <s v="Clear"/>
  </r>
  <r>
    <n v="8"/>
    <d v="2011-01-01T00:00:00"/>
    <n v="1"/>
    <n v="0"/>
    <n v="1"/>
    <n v="7"/>
    <b v="0"/>
    <n v="6"/>
    <n v="1"/>
    <n v="0.2"/>
    <s v="Weekend"/>
    <x v="0"/>
    <s v="Clear"/>
  </r>
  <r>
    <n v="9"/>
    <d v="2011-01-01T00:00:00"/>
    <n v="1"/>
    <n v="0"/>
    <n v="1"/>
    <n v="8"/>
    <b v="0"/>
    <n v="6"/>
    <n v="1"/>
    <n v="0.24"/>
    <s v="Weekend"/>
    <x v="0"/>
    <s v="Clear"/>
  </r>
  <r>
    <n v="10"/>
    <d v="2011-01-01T00:00:00"/>
    <n v="1"/>
    <n v="0"/>
    <n v="1"/>
    <n v="9"/>
    <b v="0"/>
    <n v="6"/>
    <n v="1"/>
    <n v="0.32"/>
    <s v="Weekend"/>
    <x v="0"/>
    <s v="Clear"/>
  </r>
  <r>
    <n v="11"/>
    <d v="2011-01-01T00:00:00"/>
    <n v="1"/>
    <n v="0"/>
    <n v="1"/>
    <n v="10"/>
    <b v="0"/>
    <n v="6"/>
    <n v="1"/>
    <n v="0.38"/>
    <s v="Weekend"/>
    <x v="0"/>
    <s v="Clear"/>
  </r>
  <r>
    <n v="12"/>
    <d v="2011-01-01T00:00:00"/>
    <n v="1"/>
    <n v="0"/>
    <n v="1"/>
    <n v="11"/>
    <b v="0"/>
    <n v="6"/>
    <n v="1"/>
    <n v="0.36"/>
    <s v="Weekend"/>
    <x v="0"/>
    <s v="Clear"/>
  </r>
  <r>
    <n v="13"/>
    <d v="2011-01-01T00:00:00"/>
    <n v="1"/>
    <n v="0"/>
    <n v="1"/>
    <n v="12"/>
    <b v="0"/>
    <n v="6"/>
    <n v="1"/>
    <n v="0.42"/>
    <s v="Weekend"/>
    <x v="1"/>
    <s v="Clear"/>
  </r>
  <r>
    <n v="14"/>
    <d v="2011-01-01T00:00:00"/>
    <n v="1"/>
    <n v="0"/>
    <n v="1"/>
    <n v="13"/>
    <b v="0"/>
    <n v="6"/>
    <n v="2"/>
    <n v="0.46"/>
    <s v="Weekend"/>
    <x v="1"/>
    <s v="cloudy"/>
  </r>
  <r>
    <n v="15"/>
    <d v="2011-01-01T00:00:00"/>
    <n v="1"/>
    <n v="0"/>
    <n v="1"/>
    <n v="14"/>
    <b v="0"/>
    <n v="6"/>
    <n v="2"/>
    <n v="0.46"/>
    <s v="Weekend"/>
    <x v="1"/>
    <s v="cloudy"/>
  </r>
  <r>
    <n v="16"/>
    <d v="2011-01-01T00:00:00"/>
    <n v="1"/>
    <n v="0"/>
    <n v="1"/>
    <n v="15"/>
    <b v="0"/>
    <n v="6"/>
    <n v="2"/>
    <n v="0.44"/>
    <s v="Weekend"/>
    <x v="1"/>
    <s v="cloudy"/>
  </r>
  <r>
    <n v="17"/>
    <d v="2011-01-01T00:00:00"/>
    <n v="1"/>
    <n v="0"/>
    <n v="1"/>
    <n v="16"/>
    <b v="0"/>
    <n v="6"/>
    <n v="2"/>
    <n v="0.42"/>
    <s v="Weekend"/>
    <x v="1"/>
    <s v="cloudy"/>
  </r>
  <r>
    <n v="18"/>
    <d v="2011-01-01T00:00:00"/>
    <n v="1"/>
    <n v="0"/>
    <n v="1"/>
    <n v="17"/>
    <b v="0"/>
    <n v="6"/>
    <n v="2"/>
    <n v="0.44"/>
    <s v="Weekend"/>
    <x v="1"/>
    <s v="cloudy"/>
  </r>
  <r>
    <n v="19"/>
    <d v="2011-01-01T00:00:00"/>
    <n v="1"/>
    <n v="0"/>
    <n v="1"/>
    <n v="18"/>
    <b v="0"/>
    <n v="6"/>
    <n v="3"/>
    <n v="0.42"/>
    <s v="Weekend"/>
    <x v="2"/>
    <s v="Rain"/>
  </r>
  <r>
    <n v="20"/>
    <d v="2011-01-01T00:00:00"/>
    <n v="1"/>
    <n v="0"/>
    <n v="1"/>
    <n v="19"/>
    <b v="0"/>
    <n v="6"/>
    <n v="3"/>
    <n v="0.42"/>
    <s v="Weekend"/>
    <x v="2"/>
    <s v="Rain"/>
  </r>
  <r>
    <n v="21"/>
    <d v="2011-01-01T00:00:00"/>
    <n v="1"/>
    <n v="0"/>
    <n v="1"/>
    <n v="20"/>
    <b v="0"/>
    <n v="6"/>
    <n v="2"/>
    <n v="0.4"/>
    <s v="Weekend"/>
    <x v="2"/>
    <s v="cloudy"/>
  </r>
  <r>
    <n v="22"/>
    <d v="2011-01-01T00:00:00"/>
    <n v="1"/>
    <n v="0"/>
    <n v="1"/>
    <n v="21"/>
    <b v="0"/>
    <n v="6"/>
    <n v="2"/>
    <n v="0.4"/>
    <s v="Weekend"/>
    <x v="2"/>
    <s v="cloudy"/>
  </r>
  <r>
    <n v="23"/>
    <d v="2011-01-01T00:00:00"/>
    <n v="1"/>
    <n v="0"/>
    <n v="1"/>
    <n v="22"/>
    <b v="0"/>
    <n v="6"/>
    <n v="2"/>
    <n v="0.4"/>
    <s v="Weekend"/>
    <x v="2"/>
    <s v="cloudy"/>
  </r>
  <r>
    <n v="24"/>
    <d v="2011-01-01T00:00:00"/>
    <n v="1"/>
    <n v="0"/>
    <n v="1"/>
    <n v="23"/>
    <b v="0"/>
    <n v="6"/>
    <n v="2"/>
    <n v="0.46"/>
    <s v="Weekend"/>
    <x v="2"/>
    <s v="cloudy"/>
  </r>
  <r>
    <n v="25"/>
    <d v="2011-01-02T00:00:00"/>
    <n v="1"/>
    <n v="0"/>
    <n v="1"/>
    <n v="0"/>
    <b v="0"/>
    <n v="0"/>
    <n v="2"/>
    <n v="0.46"/>
    <s v="Weekend"/>
    <x v="0"/>
    <s v="cloudy"/>
  </r>
  <r>
    <n v="26"/>
    <d v="2011-01-02T00:00:00"/>
    <n v="1"/>
    <n v="0"/>
    <n v="1"/>
    <n v="1"/>
    <b v="0"/>
    <n v="0"/>
    <n v="2"/>
    <n v="0.44"/>
    <s v="Weekend"/>
    <x v="0"/>
    <s v="cloudy"/>
  </r>
  <r>
    <n v="27"/>
    <d v="2011-01-02T00:00:00"/>
    <n v="1"/>
    <n v="0"/>
    <n v="1"/>
    <n v="2"/>
    <b v="0"/>
    <n v="0"/>
    <n v="2"/>
    <n v="0.42"/>
    <s v="Weekend"/>
    <x v="0"/>
    <s v="cloudy"/>
  </r>
  <r>
    <n v="28"/>
    <d v="2011-01-02T00:00:00"/>
    <n v="1"/>
    <n v="0"/>
    <n v="1"/>
    <n v="3"/>
    <b v="0"/>
    <n v="0"/>
    <n v="2"/>
    <n v="0.46"/>
    <s v="Weekend"/>
    <x v="0"/>
    <s v="cloudy"/>
  </r>
  <r>
    <n v="29"/>
    <d v="2011-01-02T00:00:00"/>
    <n v="1"/>
    <n v="0"/>
    <n v="1"/>
    <n v="4"/>
    <b v="0"/>
    <n v="0"/>
    <n v="2"/>
    <n v="0.46"/>
    <s v="Weekend"/>
    <x v="0"/>
    <s v="cloudy"/>
  </r>
  <r>
    <n v="30"/>
    <d v="2011-01-02T00:00:00"/>
    <n v="1"/>
    <n v="0"/>
    <n v="1"/>
    <n v="6"/>
    <b v="0"/>
    <n v="0"/>
    <n v="3"/>
    <n v="0.42"/>
    <s v="Weekend"/>
    <x v="0"/>
    <s v="Rain"/>
  </r>
  <r>
    <n v="31"/>
    <d v="2011-01-02T00:00:00"/>
    <n v="1"/>
    <n v="0"/>
    <n v="1"/>
    <n v="7"/>
    <b v="0"/>
    <n v="0"/>
    <n v="2"/>
    <n v="0.4"/>
    <s v="Weekend"/>
    <x v="0"/>
    <s v="cloudy"/>
  </r>
  <r>
    <n v="32"/>
    <d v="2011-01-02T00:00:00"/>
    <n v="1"/>
    <n v="0"/>
    <n v="1"/>
    <n v="8"/>
    <b v="0"/>
    <n v="0"/>
    <n v="3"/>
    <n v="0.4"/>
    <s v="Weekend"/>
    <x v="0"/>
    <s v="Rain"/>
  </r>
  <r>
    <n v="33"/>
    <d v="2011-01-02T00:00:00"/>
    <n v="1"/>
    <n v="0"/>
    <n v="1"/>
    <n v="9"/>
    <b v="0"/>
    <n v="0"/>
    <n v="2"/>
    <n v="0.38"/>
    <s v="Weekend"/>
    <x v="0"/>
    <s v="cloudy"/>
  </r>
  <r>
    <n v="34"/>
    <d v="2011-01-02T00:00:00"/>
    <n v="1"/>
    <n v="0"/>
    <n v="1"/>
    <n v="10"/>
    <b v="0"/>
    <n v="0"/>
    <n v="2"/>
    <n v="0.36"/>
    <s v="Weekend"/>
    <x v="0"/>
    <s v="cloudy"/>
  </r>
  <r>
    <n v="35"/>
    <d v="2011-01-02T00:00:00"/>
    <n v="1"/>
    <n v="0"/>
    <n v="1"/>
    <n v="11"/>
    <b v="0"/>
    <n v="0"/>
    <n v="2"/>
    <n v="0.36"/>
    <s v="Weekend"/>
    <x v="0"/>
    <s v="cloudy"/>
  </r>
  <r>
    <n v="36"/>
    <d v="2011-01-02T00:00:00"/>
    <n v="1"/>
    <n v="0"/>
    <n v="1"/>
    <n v="12"/>
    <b v="0"/>
    <n v="0"/>
    <n v="2"/>
    <n v="0.36"/>
    <s v="Weekend"/>
    <x v="1"/>
    <s v="cloudy"/>
  </r>
  <r>
    <n v="37"/>
    <d v="2011-01-02T00:00:00"/>
    <n v="1"/>
    <n v="0"/>
    <n v="1"/>
    <n v="13"/>
    <b v="0"/>
    <n v="0"/>
    <n v="2"/>
    <n v="0.36"/>
    <s v="Weekend"/>
    <x v="1"/>
    <s v="cloudy"/>
  </r>
  <r>
    <n v="38"/>
    <d v="2011-01-02T00:00:00"/>
    <n v="1"/>
    <n v="0"/>
    <n v="1"/>
    <n v="14"/>
    <b v="0"/>
    <n v="0"/>
    <n v="3"/>
    <n v="0.36"/>
    <s v="Weekend"/>
    <x v="1"/>
    <s v="Rain"/>
  </r>
  <r>
    <n v="39"/>
    <d v="2011-01-02T00:00:00"/>
    <n v="1"/>
    <n v="0"/>
    <n v="1"/>
    <n v="15"/>
    <b v="0"/>
    <n v="0"/>
    <n v="3"/>
    <n v="0.34"/>
    <s v="Weekend"/>
    <x v="1"/>
    <s v="Rain"/>
  </r>
  <r>
    <n v="40"/>
    <d v="2011-01-02T00:00:00"/>
    <n v="1"/>
    <n v="0"/>
    <n v="1"/>
    <n v="16"/>
    <b v="0"/>
    <n v="0"/>
    <n v="3"/>
    <n v="0.34"/>
    <s v="Weekend"/>
    <x v="1"/>
    <s v="Rain"/>
  </r>
  <r>
    <n v="41"/>
    <d v="2011-01-02T00:00:00"/>
    <n v="1"/>
    <n v="0"/>
    <n v="1"/>
    <n v="17"/>
    <b v="0"/>
    <n v="0"/>
    <n v="1"/>
    <n v="0.34"/>
    <s v="Weekend"/>
    <x v="1"/>
    <s v="Clear"/>
  </r>
  <r>
    <n v="42"/>
    <d v="2011-01-02T00:00:00"/>
    <n v="1"/>
    <n v="0"/>
    <n v="1"/>
    <n v="18"/>
    <b v="0"/>
    <n v="0"/>
    <n v="2"/>
    <n v="0.36"/>
    <s v="Weekend"/>
    <x v="2"/>
    <s v="cloudy"/>
  </r>
  <r>
    <n v="43"/>
    <d v="2011-01-02T00:00:00"/>
    <n v="1"/>
    <n v="0"/>
    <n v="1"/>
    <n v="19"/>
    <b v="0"/>
    <n v="0"/>
    <n v="1"/>
    <n v="0.32"/>
    <s v="Weekend"/>
    <x v="2"/>
    <s v="Clear"/>
  </r>
  <r>
    <n v="44"/>
    <d v="2011-01-02T00:00:00"/>
    <n v="1"/>
    <n v="0"/>
    <n v="1"/>
    <n v="20"/>
    <b v="0"/>
    <n v="0"/>
    <n v="1"/>
    <n v="0.3"/>
    <s v="Weekend"/>
    <x v="2"/>
    <s v="Clear"/>
  </r>
  <r>
    <n v="45"/>
    <d v="2011-01-02T00:00:00"/>
    <n v="1"/>
    <n v="0"/>
    <n v="1"/>
    <n v="21"/>
    <b v="0"/>
    <n v="0"/>
    <n v="1"/>
    <n v="0.26"/>
    <s v="Weekend"/>
    <x v="2"/>
    <s v="Clear"/>
  </r>
  <r>
    <n v="46"/>
    <d v="2011-01-02T00:00:00"/>
    <n v="1"/>
    <n v="0"/>
    <n v="1"/>
    <n v="22"/>
    <b v="0"/>
    <n v="0"/>
    <n v="1"/>
    <n v="0.24"/>
    <s v="Weekend"/>
    <x v="2"/>
    <s v="Clear"/>
  </r>
  <r>
    <n v="47"/>
    <d v="2011-01-02T00:00:00"/>
    <n v="1"/>
    <n v="0"/>
    <n v="1"/>
    <n v="23"/>
    <b v="0"/>
    <n v="0"/>
    <n v="1"/>
    <n v="0.22"/>
    <s v="Weekend"/>
    <x v="2"/>
    <s v="Clear"/>
  </r>
  <r>
    <n v="48"/>
    <d v="2011-01-03T00:00:00"/>
    <n v="1"/>
    <n v="0"/>
    <n v="1"/>
    <n v="0"/>
    <b v="0"/>
    <n v="1"/>
    <n v="1"/>
    <n v="0.22"/>
    <s v="Weekday"/>
    <x v="0"/>
    <s v="Clear"/>
  </r>
  <r>
    <n v="49"/>
    <d v="2011-01-03T00:00:00"/>
    <n v="1"/>
    <n v="0"/>
    <n v="1"/>
    <n v="1"/>
    <b v="0"/>
    <n v="1"/>
    <n v="1"/>
    <n v="0.2"/>
    <s v="Weekday"/>
    <x v="0"/>
    <s v="Clear"/>
  </r>
  <r>
    <n v="50"/>
    <d v="2011-01-03T00:00:00"/>
    <n v="1"/>
    <n v="0"/>
    <n v="1"/>
    <n v="4"/>
    <b v="0"/>
    <n v="1"/>
    <n v="1"/>
    <n v="0.16"/>
    <s v="Weekday"/>
    <x v="0"/>
    <s v="Clear"/>
  </r>
  <r>
    <n v="51"/>
    <d v="2011-01-03T00:00:00"/>
    <n v="1"/>
    <n v="0"/>
    <n v="1"/>
    <n v="5"/>
    <b v="0"/>
    <n v="1"/>
    <n v="1"/>
    <n v="0.16"/>
    <s v="Weekday"/>
    <x v="0"/>
    <s v="Clear"/>
  </r>
  <r>
    <n v="52"/>
    <d v="2011-01-03T00:00:00"/>
    <n v="1"/>
    <n v="0"/>
    <n v="1"/>
    <n v="6"/>
    <b v="0"/>
    <n v="1"/>
    <n v="1"/>
    <n v="0.14000000000000001"/>
    <s v="Weekday"/>
    <x v="0"/>
    <s v="Clear"/>
  </r>
  <r>
    <n v="53"/>
    <d v="2011-01-03T00:00:00"/>
    <n v="1"/>
    <n v="0"/>
    <n v="1"/>
    <n v="7"/>
    <b v="0"/>
    <n v="1"/>
    <n v="1"/>
    <n v="0.14000000000000001"/>
    <s v="Weekday"/>
    <x v="0"/>
    <s v="Clear"/>
  </r>
  <r>
    <n v="54"/>
    <d v="2011-01-03T00:00:00"/>
    <n v="1"/>
    <n v="0"/>
    <n v="1"/>
    <n v="8"/>
    <b v="0"/>
    <n v="1"/>
    <n v="1"/>
    <n v="0.14000000000000001"/>
    <s v="Weekday"/>
    <x v="0"/>
    <s v="Clear"/>
  </r>
  <r>
    <n v="55"/>
    <d v="2011-01-03T00:00:00"/>
    <n v="1"/>
    <n v="0"/>
    <n v="1"/>
    <n v="9"/>
    <b v="0"/>
    <n v="1"/>
    <n v="1"/>
    <n v="0.16"/>
    <s v="Weekday"/>
    <x v="0"/>
    <s v="Clear"/>
  </r>
  <r>
    <n v="56"/>
    <d v="2011-01-03T00:00:00"/>
    <n v="1"/>
    <n v="0"/>
    <n v="1"/>
    <n v="10"/>
    <b v="0"/>
    <n v="1"/>
    <n v="1"/>
    <n v="0.18"/>
    <s v="Weekday"/>
    <x v="0"/>
    <s v="Clear"/>
  </r>
  <r>
    <n v="57"/>
    <d v="2011-01-03T00:00:00"/>
    <n v="1"/>
    <n v="0"/>
    <n v="1"/>
    <n v="11"/>
    <b v="0"/>
    <n v="1"/>
    <n v="1"/>
    <n v="0.2"/>
    <s v="Weekday"/>
    <x v="0"/>
    <s v="Clear"/>
  </r>
  <r>
    <n v="58"/>
    <d v="2011-01-03T00:00:00"/>
    <n v="1"/>
    <n v="0"/>
    <n v="1"/>
    <n v="12"/>
    <b v="0"/>
    <n v="1"/>
    <n v="1"/>
    <n v="0.22"/>
    <s v="Weekday"/>
    <x v="1"/>
    <s v="Clear"/>
  </r>
  <r>
    <n v="59"/>
    <d v="2011-01-03T00:00:00"/>
    <n v="1"/>
    <n v="0"/>
    <n v="1"/>
    <n v="13"/>
    <b v="0"/>
    <n v="1"/>
    <n v="1"/>
    <n v="0.24"/>
    <s v="Weekday"/>
    <x v="1"/>
    <s v="Clear"/>
  </r>
  <r>
    <n v="60"/>
    <d v="2011-01-03T00:00:00"/>
    <n v="1"/>
    <n v="0"/>
    <n v="1"/>
    <n v="14"/>
    <b v="0"/>
    <n v="1"/>
    <n v="1"/>
    <n v="0.26"/>
    <s v="Weekday"/>
    <x v="1"/>
    <s v="Clear"/>
  </r>
  <r>
    <n v="61"/>
    <d v="2011-01-03T00:00:00"/>
    <n v="1"/>
    <n v="0"/>
    <n v="1"/>
    <n v="15"/>
    <b v="0"/>
    <n v="1"/>
    <n v="1"/>
    <n v="0.26"/>
    <s v="Weekday"/>
    <x v="1"/>
    <s v="Clear"/>
  </r>
  <r>
    <n v="62"/>
    <d v="2011-01-03T00:00:00"/>
    <n v="1"/>
    <n v="0"/>
    <n v="1"/>
    <n v="16"/>
    <b v="0"/>
    <n v="1"/>
    <n v="1"/>
    <n v="0.26"/>
    <s v="Weekday"/>
    <x v="1"/>
    <s v="Clear"/>
  </r>
  <r>
    <n v="63"/>
    <d v="2011-01-03T00:00:00"/>
    <n v="1"/>
    <n v="0"/>
    <n v="1"/>
    <n v="17"/>
    <b v="0"/>
    <n v="1"/>
    <n v="1"/>
    <n v="0.24"/>
    <s v="Weekday"/>
    <x v="1"/>
    <s v="Clear"/>
  </r>
  <r>
    <n v="64"/>
    <d v="2011-01-03T00:00:00"/>
    <n v="1"/>
    <n v="0"/>
    <n v="1"/>
    <n v="18"/>
    <b v="0"/>
    <n v="1"/>
    <n v="1"/>
    <n v="0.24"/>
    <s v="Weekday"/>
    <x v="2"/>
    <s v="Clear"/>
  </r>
  <r>
    <n v="65"/>
    <d v="2011-01-03T00:00:00"/>
    <n v="1"/>
    <n v="0"/>
    <n v="1"/>
    <n v="19"/>
    <b v="0"/>
    <n v="1"/>
    <n v="1"/>
    <n v="0.2"/>
    <s v="Weekday"/>
    <x v="2"/>
    <s v="Clear"/>
  </r>
  <r>
    <n v="66"/>
    <d v="2011-01-03T00:00:00"/>
    <n v="1"/>
    <n v="0"/>
    <n v="1"/>
    <n v="20"/>
    <b v="0"/>
    <n v="1"/>
    <n v="1"/>
    <n v="0.2"/>
    <s v="Weekday"/>
    <x v="2"/>
    <s v="Clear"/>
  </r>
  <r>
    <n v="67"/>
    <d v="2011-01-03T00:00:00"/>
    <n v="1"/>
    <n v="0"/>
    <n v="1"/>
    <n v="21"/>
    <b v="0"/>
    <n v="1"/>
    <n v="1"/>
    <n v="0.18"/>
    <s v="Weekday"/>
    <x v="2"/>
    <s v="Clear"/>
  </r>
  <r>
    <n v="68"/>
    <d v="2011-01-03T00:00:00"/>
    <n v="1"/>
    <n v="0"/>
    <n v="1"/>
    <n v="22"/>
    <b v="0"/>
    <n v="1"/>
    <n v="1"/>
    <n v="0.14000000000000001"/>
    <s v="Weekday"/>
    <x v="2"/>
    <s v="Clear"/>
  </r>
  <r>
    <n v="69"/>
    <d v="2011-01-03T00:00:00"/>
    <n v="1"/>
    <n v="0"/>
    <n v="1"/>
    <n v="23"/>
    <b v="0"/>
    <n v="1"/>
    <n v="1"/>
    <n v="0.18"/>
    <s v="Weekday"/>
    <x v="2"/>
    <s v="Clear"/>
  </r>
  <r>
    <n v="70"/>
    <d v="2011-01-04T00:00:00"/>
    <n v="1"/>
    <n v="0"/>
    <n v="1"/>
    <n v="0"/>
    <b v="0"/>
    <n v="2"/>
    <n v="1"/>
    <n v="0.16"/>
    <s v="Weekday"/>
    <x v="0"/>
    <s v="Clear"/>
  </r>
  <r>
    <n v="71"/>
    <d v="2011-01-04T00:00:00"/>
    <n v="1"/>
    <n v="0"/>
    <n v="1"/>
    <n v="1"/>
    <b v="0"/>
    <n v="2"/>
    <n v="1"/>
    <n v="0.16"/>
    <s v="Weekday"/>
    <x v="0"/>
    <s v="Clear"/>
  </r>
  <r>
    <n v="72"/>
    <d v="2011-01-04T00:00:00"/>
    <n v="1"/>
    <n v="0"/>
    <n v="1"/>
    <n v="2"/>
    <b v="0"/>
    <n v="2"/>
    <n v="1"/>
    <n v="0.14000000000000001"/>
    <s v="Weekday"/>
    <x v="0"/>
    <s v="Clear"/>
  </r>
  <r>
    <n v="73"/>
    <d v="2011-01-04T00:00:00"/>
    <n v="1"/>
    <n v="0"/>
    <n v="1"/>
    <n v="4"/>
    <b v="0"/>
    <n v="2"/>
    <n v="1"/>
    <n v="0.14000000000000001"/>
    <s v="Weekday"/>
    <x v="0"/>
    <s v="Clear"/>
  </r>
  <r>
    <n v="74"/>
    <d v="2011-01-04T00:00:00"/>
    <n v="1"/>
    <n v="0"/>
    <n v="1"/>
    <n v="5"/>
    <b v="0"/>
    <n v="2"/>
    <n v="1"/>
    <n v="0.12"/>
    <s v="Weekday"/>
    <x v="0"/>
    <s v="Clear"/>
  </r>
  <r>
    <n v="75"/>
    <d v="2011-01-04T00:00:00"/>
    <n v="1"/>
    <n v="0"/>
    <n v="1"/>
    <n v="6"/>
    <b v="0"/>
    <n v="2"/>
    <n v="1"/>
    <n v="0.12"/>
    <s v="Weekday"/>
    <x v="0"/>
    <s v="Clear"/>
  </r>
  <r>
    <n v="76"/>
    <d v="2011-01-04T00:00:00"/>
    <n v="1"/>
    <n v="0"/>
    <n v="1"/>
    <n v="7"/>
    <b v="0"/>
    <n v="2"/>
    <n v="1"/>
    <n v="0.12"/>
    <s v="Weekday"/>
    <x v="0"/>
    <s v="Clear"/>
  </r>
  <r>
    <n v="77"/>
    <d v="2011-01-04T00:00:00"/>
    <n v="1"/>
    <n v="0"/>
    <n v="1"/>
    <n v="8"/>
    <b v="0"/>
    <n v="2"/>
    <n v="1"/>
    <n v="0.14000000000000001"/>
    <s v="Weekday"/>
    <x v="0"/>
    <s v="Clear"/>
  </r>
  <r>
    <n v="78"/>
    <d v="2011-01-04T00:00:00"/>
    <n v="1"/>
    <n v="0"/>
    <n v="1"/>
    <n v="9"/>
    <b v="0"/>
    <n v="2"/>
    <n v="1"/>
    <n v="0.16"/>
    <s v="Weekday"/>
    <x v="0"/>
    <s v="Clear"/>
  </r>
  <r>
    <n v="79"/>
    <d v="2011-01-04T00:00:00"/>
    <n v="1"/>
    <n v="0"/>
    <n v="1"/>
    <n v="10"/>
    <b v="0"/>
    <n v="2"/>
    <n v="2"/>
    <n v="0.16"/>
    <s v="Weekday"/>
    <x v="0"/>
    <s v="cloudy"/>
  </r>
  <r>
    <n v="80"/>
    <d v="2011-01-04T00:00:00"/>
    <n v="1"/>
    <n v="0"/>
    <n v="1"/>
    <n v="11"/>
    <b v="0"/>
    <n v="2"/>
    <n v="1"/>
    <n v="0.22"/>
    <s v="Weekday"/>
    <x v="0"/>
    <s v="Clear"/>
  </r>
  <r>
    <n v="81"/>
    <d v="2011-01-04T00:00:00"/>
    <n v="1"/>
    <n v="0"/>
    <n v="1"/>
    <n v="12"/>
    <b v="0"/>
    <n v="2"/>
    <n v="1"/>
    <n v="0.22"/>
    <s v="Weekday"/>
    <x v="1"/>
    <s v="Clear"/>
  </r>
  <r>
    <n v="82"/>
    <d v="2011-01-04T00:00:00"/>
    <n v="1"/>
    <n v="0"/>
    <n v="1"/>
    <n v="13"/>
    <b v="0"/>
    <n v="2"/>
    <n v="1"/>
    <n v="0.24"/>
    <s v="Weekday"/>
    <x v="1"/>
    <s v="Clear"/>
  </r>
  <r>
    <n v="83"/>
    <d v="2011-01-04T00:00:00"/>
    <n v="1"/>
    <n v="0"/>
    <n v="1"/>
    <n v="14"/>
    <b v="0"/>
    <n v="2"/>
    <n v="1"/>
    <n v="0.26"/>
    <s v="Weekday"/>
    <x v="1"/>
    <s v="Clear"/>
  </r>
  <r>
    <n v="84"/>
    <d v="2011-01-04T00:00:00"/>
    <n v="1"/>
    <n v="0"/>
    <n v="1"/>
    <n v="15"/>
    <b v="0"/>
    <n v="2"/>
    <n v="1"/>
    <n v="0.28000000000000003"/>
    <s v="Weekday"/>
    <x v="1"/>
    <s v="Clear"/>
  </r>
  <r>
    <n v="85"/>
    <d v="2011-01-04T00:00:00"/>
    <n v="1"/>
    <n v="0"/>
    <n v="1"/>
    <n v="16"/>
    <b v="0"/>
    <n v="2"/>
    <n v="1"/>
    <n v="0.3"/>
    <s v="Weekday"/>
    <x v="1"/>
    <s v="Clear"/>
  </r>
  <r>
    <n v="86"/>
    <d v="2011-01-04T00:00:00"/>
    <n v="1"/>
    <n v="0"/>
    <n v="1"/>
    <n v="17"/>
    <b v="0"/>
    <n v="2"/>
    <n v="1"/>
    <n v="0.28000000000000003"/>
    <s v="Weekday"/>
    <x v="1"/>
    <s v="Clear"/>
  </r>
  <r>
    <n v="87"/>
    <d v="2011-01-04T00:00:00"/>
    <n v="1"/>
    <n v="0"/>
    <n v="1"/>
    <n v="18"/>
    <b v="0"/>
    <n v="2"/>
    <n v="1"/>
    <n v="0.26"/>
    <s v="Weekday"/>
    <x v="2"/>
    <s v="Clear"/>
  </r>
  <r>
    <n v="88"/>
    <d v="2011-01-04T00:00:00"/>
    <n v="1"/>
    <n v="0"/>
    <n v="1"/>
    <n v="19"/>
    <b v="0"/>
    <n v="2"/>
    <n v="1"/>
    <n v="0.24"/>
    <s v="Weekday"/>
    <x v="2"/>
    <s v="Clear"/>
  </r>
  <r>
    <n v="89"/>
    <d v="2011-01-04T00:00:00"/>
    <n v="1"/>
    <n v="0"/>
    <n v="1"/>
    <n v="20"/>
    <b v="0"/>
    <n v="2"/>
    <n v="1"/>
    <n v="0.24"/>
    <s v="Weekday"/>
    <x v="2"/>
    <s v="Clear"/>
  </r>
  <r>
    <n v="90"/>
    <d v="2011-01-04T00:00:00"/>
    <n v="1"/>
    <n v="0"/>
    <n v="1"/>
    <n v="21"/>
    <b v="0"/>
    <n v="2"/>
    <n v="1"/>
    <n v="0.22"/>
    <s v="Weekday"/>
    <x v="2"/>
    <s v="Clear"/>
  </r>
  <r>
    <n v="91"/>
    <d v="2011-01-04T00:00:00"/>
    <n v="1"/>
    <n v="0"/>
    <n v="1"/>
    <n v="22"/>
    <b v="0"/>
    <n v="2"/>
    <n v="1"/>
    <n v="0.22"/>
    <s v="Weekday"/>
    <x v="2"/>
    <s v="Clear"/>
  </r>
  <r>
    <n v="92"/>
    <d v="2011-01-04T00:00:00"/>
    <n v="1"/>
    <n v="0"/>
    <n v="1"/>
    <n v="23"/>
    <b v="0"/>
    <n v="2"/>
    <n v="1"/>
    <n v="0.2"/>
    <s v="Weekday"/>
    <x v="2"/>
    <s v="Clear"/>
  </r>
  <r>
    <n v="93"/>
    <d v="2011-01-05T00:00:00"/>
    <n v="1"/>
    <n v="0"/>
    <n v="1"/>
    <n v="0"/>
    <b v="0"/>
    <n v="3"/>
    <n v="1"/>
    <n v="0.2"/>
    <s v="Weekday"/>
    <x v="0"/>
    <s v="Clear"/>
  </r>
  <r>
    <n v="94"/>
    <d v="2011-01-05T00:00:00"/>
    <n v="1"/>
    <n v="0"/>
    <n v="1"/>
    <n v="1"/>
    <b v="0"/>
    <n v="3"/>
    <n v="1"/>
    <n v="0.16"/>
    <s v="Weekday"/>
    <x v="0"/>
    <s v="Clear"/>
  </r>
  <r>
    <n v="95"/>
    <d v="2011-01-05T00:00:00"/>
    <n v="1"/>
    <n v="0"/>
    <n v="1"/>
    <n v="2"/>
    <b v="0"/>
    <n v="3"/>
    <n v="1"/>
    <n v="0.16"/>
    <s v="Weekday"/>
    <x v="0"/>
    <s v="Clear"/>
  </r>
  <r>
    <n v="96"/>
    <d v="2011-01-05T00:00:00"/>
    <n v="1"/>
    <n v="0"/>
    <n v="1"/>
    <n v="4"/>
    <b v="0"/>
    <n v="3"/>
    <n v="1"/>
    <n v="0.24"/>
    <s v="Weekday"/>
    <x v="0"/>
    <s v="Clear"/>
  </r>
  <r>
    <n v="97"/>
    <d v="2011-01-05T00:00:00"/>
    <n v="1"/>
    <n v="0"/>
    <n v="1"/>
    <n v="5"/>
    <b v="0"/>
    <n v="3"/>
    <n v="1"/>
    <n v="0.22"/>
    <s v="Weekday"/>
    <x v="0"/>
    <s v="Clear"/>
  </r>
  <r>
    <n v="98"/>
    <d v="2011-01-05T00:00:00"/>
    <n v="1"/>
    <n v="0"/>
    <n v="1"/>
    <n v="6"/>
    <b v="0"/>
    <n v="3"/>
    <n v="1"/>
    <n v="0.2"/>
    <s v="Weekday"/>
    <x v="0"/>
    <s v="Clear"/>
  </r>
  <r>
    <n v="99"/>
    <d v="2011-01-05T00:00:00"/>
    <n v="1"/>
    <n v="0"/>
    <n v="1"/>
    <n v="7"/>
    <b v="0"/>
    <n v="3"/>
    <n v="1"/>
    <n v="0.18"/>
    <s v="Weekday"/>
    <x v="0"/>
    <s v="Clear"/>
  </r>
  <r>
    <n v="100"/>
    <d v="2011-01-05T00:00:00"/>
    <n v="1"/>
    <n v="0"/>
    <n v="1"/>
    <n v="8"/>
    <b v="0"/>
    <n v="3"/>
    <n v="1"/>
    <n v="0.2"/>
    <s v="Weekday"/>
    <x v="0"/>
    <s v="Clear"/>
  </r>
  <r>
    <n v="101"/>
    <d v="2011-01-05T00:00:00"/>
    <n v="1"/>
    <n v="0"/>
    <n v="1"/>
    <n v="9"/>
    <b v="0"/>
    <n v="3"/>
    <n v="1"/>
    <n v="0.22"/>
    <s v="Weekday"/>
    <x v="0"/>
    <s v="Clear"/>
  </r>
  <r>
    <n v="102"/>
    <d v="2011-01-05T00:00:00"/>
    <n v="1"/>
    <n v="0"/>
    <n v="1"/>
    <n v="10"/>
    <b v="0"/>
    <n v="3"/>
    <n v="1"/>
    <n v="0.22"/>
    <s v="Weekday"/>
    <x v="0"/>
    <s v="Clear"/>
  </r>
  <r>
    <n v="103"/>
    <d v="2011-01-05T00:00:00"/>
    <n v="1"/>
    <n v="0"/>
    <n v="1"/>
    <n v="11"/>
    <b v="0"/>
    <n v="3"/>
    <n v="1"/>
    <n v="0.26"/>
    <s v="Weekday"/>
    <x v="0"/>
    <s v="Clear"/>
  </r>
  <r>
    <n v="104"/>
    <d v="2011-01-05T00:00:00"/>
    <n v="1"/>
    <n v="0"/>
    <n v="1"/>
    <n v="12"/>
    <b v="0"/>
    <n v="3"/>
    <n v="1"/>
    <n v="0.26"/>
    <s v="Weekday"/>
    <x v="1"/>
    <s v="Clear"/>
  </r>
  <r>
    <n v="105"/>
    <d v="2011-01-05T00:00:00"/>
    <n v="1"/>
    <n v="0"/>
    <n v="1"/>
    <n v="13"/>
    <b v="0"/>
    <n v="3"/>
    <n v="1"/>
    <n v="0.28000000000000003"/>
    <s v="Weekday"/>
    <x v="1"/>
    <s v="Clear"/>
  </r>
  <r>
    <n v="106"/>
    <d v="2011-01-05T00:00:00"/>
    <n v="1"/>
    <n v="0"/>
    <n v="1"/>
    <n v="14"/>
    <b v="0"/>
    <n v="3"/>
    <n v="1"/>
    <n v="0.3"/>
    <s v="Weekday"/>
    <x v="1"/>
    <s v="Clear"/>
  </r>
  <r>
    <n v="107"/>
    <d v="2011-01-05T00:00:00"/>
    <n v="1"/>
    <n v="0"/>
    <n v="1"/>
    <n v="15"/>
    <b v="0"/>
    <n v="3"/>
    <n v="1"/>
    <n v="0.3"/>
    <s v="Weekday"/>
    <x v="1"/>
    <s v="Clear"/>
  </r>
  <r>
    <n v="108"/>
    <d v="2011-01-05T00:00:00"/>
    <n v="1"/>
    <n v="0"/>
    <n v="1"/>
    <n v="16"/>
    <b v="0"/>
    <n v="3"/>
    <n v="1"/>
    <n v="0.3"/>
    <s v="Weekday"/>
    <x v="1"/>
    <s v="Clear"/>
  </r>
  <r>
    <n v="109"/>
    <d v="2011-01-05T00:00:00"/>
    <n v="1"/>
    <n v="0"/>
    <n v="1"/>
    <n v="17"/>
    <b v="0"/>
    <n v="3"/>
    <n v="1"/>
    <n v="0.24"/>
    <s v="Weekday"/>
    <x v="1"/>
    <s v="Clear"/>
  </r>
  <r>
    <n v="110"/>
    <d v="2011-01-05T00:00:00"/>
    <n v="1"/>
    <n v="0"/>
    <n v="1"/>
    <n v="18"/>
    <b v="0"/>
    <n v="3"/>
    <n v="1"/>
    <n v="0.24"/>
    <s v="Weekday"/>
    <x v="2"/>
    <s v="Clear"/>
  </r>
  <r>
    <n v="111"/>
    <d v="2011-01-05T00:00:00"/>
    <n v="1"/>
    <n v="0"/>
    <n v="1"/>
    <n v="19"/>
    <b v="0"/>
    <n v="3"/>
    <n v="1"/>
    <n v="0.24"/>
    <s v="Weekday"/>
    <x v="2"/>
    <s v="Clear"/>
  </r>
  <r>
    <n v="112"/>
    <d v="2011-01-05T00:00:00"/>
    <n v="1"/>
    <n v="0"/>
    <n v="1"/>
    <n v="20"/>
    <b v="0"/>
    <n v="3"/>
    <n v="1"/>
    <n v="0.22"/>
    <s v="Weekday"/>
    <x v="2"/>
    <s v="Clear"/>
  </r>
  <r>
    <n v="113"/>
    <d v="2011-01-05T00:00:00"/>
    <n v="1"/>
    <n v="0"/>
    <n v="1"/>
    <n v="21"/>
    <b v="0"/>
    <n v="3"/>
    <n v="1"/>
    <n v="0.2"/>
    <s v="Weekday"/>
    <x v="2"/>
    <s v="Clear"/>
  </r>
  <r>
    <n v="114"/>
    <d v="2011-01-05T00:00:00"/>
    <n v="1"/>
    <n v="0"/>
    <n v="1"/>
    <n v="22"/>
    <b v="0"/>
    <n v="3"/>
    <n v="1"/>
    <n v="0.18"/>
    <s v="Weekday"/>
    <x v="2"/>
    <s v="Clear"/>
  </r>
  <r>
    <n v="115"/>
    <d v="2011-01-05T00:00:00"/>
    <n v="1"/>
    <n v="0"/>
    <n v="1"/>
    <n v="23"/>
    <b v="0"/>
    <n v="3"/>
    <n v="1"/>
    <n v="0.2"/>
    <s v="Weekday"/>
    <x v="2"/>
    <s v="Clear"/>
  </r>
  <r>
    <n v="116"/>
    <d v="2011-01-06T00:00:00"/>
    <n v="1"/>
    <n v="0"/>
    <n v="1"/>
    <n v="0"/>
    <b v="0"/>
    <n v="4"/>
    <n v="1"/>
    <n v="0.18"/>
    <s v="Weekday"/>
    <x v="0"/>
    <s v="Clear"/>
  </r>
  <r>
    <n v="117"/>
    <d v="2011-01-06T00:00:00"/>
    <n v="1"/>
    <n v="0"/>
    <n v="1"/>
    <n v="1"/>
    <b v="0"/>
    <n v="4"/>
    <n v="1"/>
    <n v="0.16"/>
    <s v="Weekday"/>
    <x v="0"/>
    <s v="Clear"/>
  </r>
  <r>
    <n v="118"/>
    <d v="2011-01-06T00:00:00"/>
    <n v="1"/>
    <n v="0"/>
    <n v="1"/>
    <n v="2"/>
    <b v="0"/>
    <n v="4"/>
    <n v="1"/>
    <n v="0.16"/>
    <s v="Weekday"/>
    <x v="0"/>
    <s v="Clear"/>
  </r>
  <r>
    <n v="119"/>
    <d v="2011-01-06T00:00:00"/>
    <n v="1"/>
    <n v="0"/>
    <n v="1"/>
    <n v="4"/>
    <b v="0"/>
    <n v="4"/>
    <n v="2"/>
    <n v="0.16"/>
    <s v="Weekday"/>
    <x v="0"/>
    <s v="cloudy"/>
  </r>
  <r>
    <n v="120"/>
    <d v="2011-01-06T00:00:00"/>
    <n v="1"/>
    <n v="0"/>
    <n v="1"/>
    <n v="5"/>
    <b v="0"/>
    <n v="4"/>
    <n v="2"/>
    <n v="0.14000000000000001"/>
    <s v="Weekday"/>
    <x v="0"/>
    <s v="cloudy"/>
  </r>
  <r>
    <n v="121"/>
    <d v="2011-01-06T00:00:00"/>
    <n v="1"/>
    <n v="0"/>
    <n v="1"/>
    <n v="6"/>
    <b v="0"/>
    <n v="4"/>
    <n v="2"/>
    <n v="0.14000000000000001"/>
    <s v="Weekday"/>
    <x v="0"/>
    <s v="cloudy"/>
  </r>
  <r>
    <n v="122"/>
    <d v="2011-01-06T00:00:00"/>
    <n v="1"/>
    <n v="0"/>
    <n v="1"/>
    <n v="7"/>
    <b v="0"/>
    <n v="4"/>
    <n v="2"/>
    <n v="0.16"/>
    <s v="Weekday"/>
    <x v="0"/>
    <s v="cloudy"/>
  </r>
  <r>
    <n v="123"/>
    <d v="2011-01-06T00:00:00"/>
    <n v="1"/>
    <n v="0"/>
    <n v="1"/>
    <n v="8"/>
    <b v="0"/>
    <n v="4"/>
    <n v="1"/>
    <n v="0.16"/>
    <s v="Weekday"/>
    <x v="0"/>
    <s v="Clear"/>
  </r>
  <r>
    <n v="124"/>
    <d v="2011-01-06T00:00:00"/>
    <n v="1"/>
    <n v="0"/>
    <n v="1"/>
    <n v="9"/>
    <b v="0"/>
    <n v="4"/>
    <n v="2"/>
    <n v="0.18"/>
    <s v="Weekday"/>
    <x v="0"/>
    <s v="cloudy"/>
  </r>
  <r>
    <n v="125"/>
    <d v="2011-01-06T00:00:00"/>
    <n v="1"/>
    <n v="0"/>
    <n v="1"/>
    <n v="10"/>
    <b v="0"/>
    <n v="4"/>
    <n v="1"/>
    <n v="0.2"/>
    <s v="Weekday"/>
    <x v="0"/>
    <s v="Clear"/>
  </r>
  <r>
    <n v="126"/>
    <d v="2011-01-06T00:00:00"/>
    <n v="1"/>
    <n v="0"/>
    <n v="1"/>
    <n v="11"/>
    <b v="0"/>
    <n v="4"/>
    <n v="1"/>
    <n v="0.22"/>
    <s v="Weekday"/>
    <x v="0"/>
    <s v="Clear"/>
  </r>
  <r>
    <n v="127"/>
    <d v="2011-01-06T00:00:00"/>
    <n v="1"/>
    <n v="0"/>
    <n v="1"/>
    <n v="12"/>
    <b v="0"/>
    <n v="4"/>
    <n v="1"/>
    <n v="0.26"/>
    <s v="Weekday"/>
    <x v="1"/>
    <s v="Clear"/>
  </r>
  <r>
    <n v="128"/>
    <d v="2011-01-06T00:00:00"/>
    <n v="1"/>
    <n v="0"/>
    <n v="1"/>
    <n v="13"/>
    <b v="0"/>
    <n v="4"/>
    <n v="1"/>
    <n v="0.26"/>
    <s v="Weekday"/>
    <x v="1"/>
    <s v="Clear"/>
  </r>
  <r>
    <n v="129"/>
    <d v="2011-01-06T00:00:00"/>
    <n v="1"/>
    <n v="0"/>
    <n v="1"/>
    <n v="14"/>
    <b v="0"/>
    <n v="4"/>
    <n v="1"/>
    <n v="0.28000000000000003"/>
    <s v="Weekday"/>
    <x v="1"/>
    <s v="Clear"/>
  </r>
  <r>
    <n v="130"/>
    <d v="2011-01-06T00:00:00"/>
    <n v="1"/>
    <n v="0"/>
    <n v="1"/>
    <n v="15"/>
    <b v="0"/>
    <n v="4"/>
    <n v="1"/>
    <n v="0.28000000000000003"/>
    <s v="Weekday"/>
    <x v="1"/>
    <s v="Clear"/>
  </r>
  <r>
    <n v="131"/>
    <d v="2011-01-06T00:00:00"/>
    <n v="1"/>
    <n v="0"/>
    <n v="1"/>
    <n v="16"/>
    <b v="0"/>
    <n v="4"/>
    <n v="1"/>
    <n v="0.26"/>
    <s v="Weekday"/>
    <x v="1"/>
    <s v="Clear"/>
  </r>
  <r>
    <n v="132"/>
    <d v="2011-01-06T00:00:00"/>
    <n v="1"/>
    <n v="0"/>
    <n v="1"/>
    <n v="17"/>
    <b v="0"/>
    <n v="4"/>
    <n v="1"/>
    <n v="0.22"/>
    <s v="Weekday"/>
    <x v="1"/>
    <s v="Clear"/>
  </r>
  <r>
    <n v="133"/>
    <d v="2011-01-06T00:00:00"/>
    <n v="1"/>
    <n v="0"/>
    <n v="1"/>
    <n v="18"/>
    <b v="0"/>
    <n v="4"/>
    <n v="1"/>
    <n v="0.22"/>
    <s v="Weekday"/>
    <x v="2"/>
    <s v="Clear"/>
  </r>
  <r>
    <n v="134"/>
    <d v="2011-01-06T00:00:00"/>
    <n v="1"/>
    <n v="0"/>
    <n v="1"/>
    <n v="19"/>
    <b v="0"/>
    <n v="4"/>
    <n v="1"/>
    <n v="0.22"/>
    <s v="Weekday"/>
    <x v="2"/>
    <s v="Clear"/>
  </r>
  <r>
    <n v="135"/>
    <d v="2011-01-06T00:00:00"/>
    <n v="1"/>
    <n v="0"/>
    <n v="1"/>
    <n v="20"/>
    <b v="0"/>
    <n v="4"/>
    <n v="1"/>
    <n v="0.2"/>
    <s v="Weekday"/>
    <x v="2"/>
    <s v="Clear"/>
  </r>
  <r>
    <n v="136"/>
    <d v="2011-01-06T00:00:00"/>
    <n v="1"/>
    <n v="0"/>
    <n v="1"/>
    <n v="21"/>
    <b v="0"/>
    <n v="4"/>
    <n v="2"/>
    <n v="0.22"/>
    <s v="Weekday"/>
    <x v="2"/>
    <s v="cloudy"/>
  </r>
  <r>
    <n v="137"/>
    <d v="2011-01-06T00:00:00"/>
    <n v="1"/>
    <n v="0"/>
    <n v="1"/>
    <n v="22"/>
    <b v="0"/>
    <n v="4"/>
    <n v="2"/>
    <n v="0.22"/>
    <s v="Weekday"/>
    <x v="2"/>
    <s v="cloudy"/>
  </r>
  <r>
    <n v="138"/>
    <d v="2011-01-06T00:00:00"/>
    <n v="1"/>
    <n v="0"/>
    <n v="1"/>
    <n v="23"/>
    <b v="0"/>
    <n v="4"/>
    <n v="2"/>
    <n v="0.2"/>
    <s v="Weekday"/>
    <x v="2"/>
    <s v="cloudy"/>
  </r>
  <r>
    <n v="139"/>
    <d v="2011-01-07T00:00:00"/>
    <n v="1"/>
    <n v="0"/>
    <n v="1"/>
    <n v="0"/>
    <b v="0"/>
    <n v="5"/>
    <n v="2"/>
    <n v="0.2"/>
    <s v="Weekday"/>
    <x v="0"/>
    <s v="cloudy"/>
  </r>
  <r>
    <n v="140"/>
    <d v="2011-01-07T00:00:00"/>
    <n v="1"/>
    <n v="0"/>
    <n v="1"/>
    <n v="1"/>
    <b v="0"/>
    <n v="5"/>
    <n v="2"/>
    <n v="0.2"/>
    <s v="Weekday"/>
    <x v="0"/>
    <s v="cloudy"/>
  </r>
  <r>
    <n v="141"/>
    <d v="2011-01-07T00:00:00"/>
    <n v="1"/>
    <n v="0"/>
    <n v="1"/>
    <n v="2"/>
    <b v="0"/>
    <n v="5"/>
    <n v="2"/>
    <n v="0.2"/>
    <s v="Weekday"/>
    <x v="0"/>
    <s v="cloudy"/>
  </r>
  <r>
    <n v="142"/>
    <d v="2011-01-07T00:00:00"/>
    <n v="1"/>
    <n v="0"/>
    <n v="1"/>
    <n v="4"/>
    <b v="0"/>
    <n v="5"/>
    <n v="2"/>
    <n v="0.2"/>
    <s v="Weekday"/>
    <x v="0"/>
    <s v="cloudy"/>
  </r>
  <r>
    <n v="143"/>
    <d v="2011-01-07T00:00:00"/>
    <n v="1"/>
    <n v="0"/>
    <n v="1"/>
    <n v="5"/>
    <b v="0"/>
    <n v="5"/>
    <n v="3"/>
    <n v="0.22"/>
    <s v="Weekday"/>
    <x v="0"/>
    <s v="Rain"/>
  </r>
  <r>
    <n v="144"/>
    <d v="2011-01-07T00:00:00"/>
    <n v="1"/>
    <n v="0"/>
    <n v="1"/>
    <n v="6"/>
    <b v="0"/>
    <n v="5"/>
    <n v="2"/>
    <n v="0.2"/>
    <s v="Weekday"/>
    <x v="0"/>
    <s v="cloudy"/>
  </r>
  <r>
    <n v="145"/>
    <d v="2011-01-07T00:00:00"/>
    <n v="1"/>
    <n v="0"/>
    <n v="1"/>
    <n v="7"/>
    <b v="0"/>
    <n v="5"/>
    <n v="1"/>
    <n v="0.2"/>
    <s v="Weekday"/>
    <x v="0"/>
    <s v="Clear"/>
  </r>
  <r>
    <n v="146"/>
    <d v="2011-01-07T00:00:00"/>
    <n v="1"/>
    <n v="0"/>
    <n v="1"/>
    <n v="8"/>
    <b v="0"/>
    <n v="5"/>
    <n v="1"/>
    <n v="0.2"/>
    <s v="Weekday"/>
    <x v="0"/>
    <s v="Clear"/>
  </r>
  <r>
    <n v="147"/>
    <d v="2011-01-07T00:00:00"/>
    <n v="1"/>
    <n v="0"/>
    <n v="1"/>
    <n v="9"/>
    <b v="0"/>
    <n v="5"/>
    <n v="1"/>
    <n v="0.2"/>
    <s v="Weekday"/>
    <x v="0"/>
    <s v="Clear"/>
  </r>
  <r>
    <n v="148"/>
    <d v="2011-01-07T00:00:00"/>
    <n v="1"/>
    <n v="0"/>
    <n v="1"/>
    <n v="10"/>
    <b v="0"/>
    <n v="5"/>
    <n v="1"/>
    <n v="0.22"/>
    <s v="Weekday"/>
    <x v="0"/>
    <s v="Clear"/>
  </r>
  <r>
    <n v="149"/>
    <d v="2011-01-07T00:00:00"/>
    <n v="1"/>
    <n v="0"/>
    <n v="1"/>
    <n v="11"/>
    <b v="0"/>
    <n v="5"/>
    <n v="2"/>
    <n v="0.2"/>
    <s v="Weekday"/>
    <x v="0"/>
    <s v="cloudy"/>
  </r>
  <r>
    <n v="150"/>
    <d v="2011-01-07T00:00:00"/>
    <n v="1"/>
    <n v="0"/>
    <n v="1"/>
    <n v="12"/>
    <b v="0"/>
    <n v="5"/>
    <n v="2"/>
    <n v="0.2"/>
    <s v="Weekday"/>
    <x v="1"/>
    <s v="cloudy"/>
  </r>
  <r>
    <n v="151"/>
    <d v="2011-01-07T00:00:00"/>
    <n v="1"/>
    <n v="0"/>
    <n v="1"/>
    <n v="13"/>
    <b v="0"/>
    <n v="5"/>
    <n v="2"/>
    <n v="0.2"/>
    <s v="Weekday"/>
    <x v="1"/>
    <s v="cloudy"/>
  </r>
  <r>
    <n v="152"/>
    <d v="2011-01-07T00:00:00"/>
    <n v="1"/>
    <n v="0"/>
    <n v="1"/>
    <n v="14"/>
    <b v="0"/>
    <n v="5"/>
    <n v="2"/>
    <n v="0.2"/>
    <s v="Weekday"/>
    <x v="1"/>
    <s v="cloudy"/>
  </r>
  <r>
    <n v="153"/>
    <d v="2011-01-07T00:00:00"/>
    <n v="1"/>
    <n v="0"/>
    <n v="1"/>
    <n v="15"/>
    <b v="0"/>
    <n v="5"/>
    <n v="2"/>
    <n v="0.2"/>
    <s v="Weekday"/>
    <x v="1"/>
    <s v="cloudy"/>
  </r>
  <r>
    <n v="154"/>
    <d v="2011-01-07T00:00:00"/>
    <n v="1"/>
    <n v="0"/>
    <n v="1"/>
    <n v="16"/>
    <b v="0"/>
    <n v="5"/>
    <n v="2"/>
    <n v="0.2"/>
    <s v="Weekday"/>
    <x v="1"/>
    <s v="cloudy"/>
  </r>
  <r>
    <n v="155"/>
    <d v="2011-01-07T00:00:00"/>
    <n v="1"/>
    <n v="0"/>
    <n v="1"/>
    <n v="17"/>
    <b v="0"/>
    <n v="5"/>
    <n v="2"/>
    <n v="0.2"/>
    <s v="Weekday"/>
    <x v="1"/>
    <s v="cloudy"/>
  </r>
  <r>
    <n v="156"/>
    <d v="2011-01-07T00:00:00"/>
    <n v="1"/>
    <n v="0"/>
    <n v="1"/>
    <n v="18"/>
    <b v="0"/>
    <n v="5"/>
    <n v="1"/>
    <n v="0.2"/>
    <s v="Weekday"/>
    <x v="2"/>
    <s v="Clear"/>
  </r>
  <r>
    <n v="157"/>
    <d v="2011-01-07T00:00:00"/>
    <n v="1"/>
    <n v="0"/>
    <n v="1"/>
    <n v="19"/>
    <b v="0"/>
    <n v="5"/>
    <n v="1"/>
    <n v="0.16"/>
    <s v="Weekday"/>
    <x v="2"/>
    <s v="Clear"/>
  </r>
  <r>
    <n v="158"/>
    <d v="2011-01-07T00:00:00"/>
    <n v="1"/>
    <n v="0"/>
    <n v="1"/>
    <n v="20"/>
    <b v="0"/>
    <n v="5"/>
    <n v="1"/>
    <n v="0.18"/>
    <s v="Weekday"/>
    <x v="2"/>
    <s v="Clear"/>
  </r>
  <r>
    <n v="159"/>
    <d v="2011-01-07T00:00:00"/>
    <n v="1"/>
    <n v="0"/>
    <n v="1"/>
    <n v="21"/>
    <b v="0"/>
    <n v="5"/>
    <n v="1"/>
    <n v="0.18"/>
    <s v="Weekday"/>
    <x v="2"/>
    <s v="Clear"/>
  </r>
  <r>
    <n v="160"/>
    <d v="2011-01-07T00:00:00"/>
    <n v="1"/>
    <n v="0"/>
    <n v="1"/>
    <n v="22"/>
    <b v="0"/>
    <n v="5"/>
    <n v="2"/>
    <n v="0.18"/>
    <s v="Weekday"/>
    <x v="2"/>
    <s v="cloudy"/>
  </r>
  <r>
    <n v="161"/>
    <d v="2011-01-07T00:00:00"/>
    <n v="1"/>
    <n v="0"/>
    <n v="1"/>
    <n v="23"/>
    <b v="0"/>
    <n v="5"/>
    <n v="2"/>
    <n v="0.18"/>
    <s v="Weekday"/>
    <x v="2"/>
    <s v="cloudy"/>
  </r>
  <r>
    <n v="162"/>
    <d v="2011-01-08T00:00:00"/>
    <n v="1"/>
    <n v="0"/>
    <n v="1"/>
    <n v="0"/>
    <b v="0"/>
    <n v="6"/>
    <n v="2"/>
    <n v="0.18"/>
    <s v="Weekend"/>
    <x v="0"/>
    <s v="cloudy"/>
  </r>
  <r>
    <n v="163"/>
    <d v="2011-01-08T00:00:00"/>
    <n v="1"/>
    <n v="0"/>
    <n v="1"/>
    <n v="1"/>
    <b v="0"/>
    <n v="6"/>
    <n v="2"/>
    <n v="0.18"/>
    <s v="Weekend"/>
    <x v="0"/>
    <s v="cloudy"/>
  </r>
  <r>
    <n v="164"/>
    <d v="2011-01-08T00:00:00"/>
    <n v="1"/>
    <n v="0"/>
    <n v="1"/>
    <n v="2"/>
    <b v="0"/>
    <n v="6"/>
    <n v="2"/>
    <n v="0.18"/>
    <s v="Weekend"/>
    <x v="0"/>
    <s v="cloudy"/>
  </r>
  <r>
    <n v="165"/>
    <d v="2011-01-08T00:00:00"/>
    <n v="1"/>
    <n v="0"/>
    <n v="1"/>
    <n v="3"/>
    <b v="0"/>
    <n v="6"/>
    <n v="3"/>
    <n v="0.18"/>
    <s v="Weekend"/>
    <x v="0"/>
    <s v="Rain"/>
  </r>
  <r>
    <n v="166"/>
    <d v="2011-01-08T00:00:00"/>
    <n v="1"/>
    <n v="0"/>
    <n v="1"/>
    <n v="4"/>
    <b v="0"/>
    <n v="6"/>
    <n v="3"/>
    <n v="0.18"/>
    <s v="Weekend"/>
    <x v="0"/>
    <s v="Rain"/>
  </r>
  <r>
    <n v="167"/>
    <d v="2011-01-08T00:00:00"/>
    <n v="1"/>
    <n v="0"/>
    <n v="1"/>
    <n v="5"/>
    <b v="0"/>
    <n v="6"/>
    <n v="2"/>
    <n v="0.16"/>
    <s v="Weekend"/>
    <x v="0"/>
    <s v="cloudy"/>
  </r>
  <r>
    <n v="168"/>
    <d v="2011-01-08T00:00:00"/>
    <n v="1"/>
    <n v="0"/>
    <n v="1"/>
    <n v="6"/>
    <b v="0"/>
    <n v="6"/>
    <n v="2"/>
    <n v="0.16"/>
    <s v="Weekend"/>
    <x v="0"/>
    <s v="cloudy"/>
  </r>
  <r>
    <n v="169"/>
    <d v="2011-01-08T00:00:00"/>
    <n v="1"/>
    <n v="0"/>
    <n v="1"/>
    <n v="7"/>
    <b v="0"/>
    <n v="6"/>
    <n v="2"/>
    <n v="0.16"/>
    <s v="Weekend"/>
    <x v="0"/>
    <s v="cloudy"/>
  </r>
  <r>
    <n v="170"/>
    <d v="2011-01-08T00:00:00"/>
    <n v="1"/>
    <n v="0"/>
    <n v="1"/>
    <n v="8"/>
    <b v="0"/>
    <n v="6"/>
    <n v="3"/>
    <n v="0.16"/>
    <s v="Weekend"/>
    <x v="0"/>
    <s v="Rain"/>
  </r>
  <r>
    <n v="171"/>
    <d v="2011-01-08T00:00:00"/>
    <n v="1"/>
    <n v="0"/>
    <n v="1"/>
    <n v="9"/>
    <b v="0"/>
    <n v="6"/>
    <n v="3"/>
    <n v="0.16"/>
    <s v="Weekend"/>
    <x v="0"/>
    <s v="Rain"/>
  </r>
  <r>
    <n v="172"/>
    <d v="2011-01-08T00:00:00"/>
    <n v="1"/>
    <n v="0"/>
    <n v="1"/>
    <n v="10"/>
    <b v="0"/>
    <n v="6"/>
    <n v="2"/>
    <n v="0.18"/>
    <s v="Weekend"/>
    <x v="0"/>
    <s v="cloudy"/>
  </r>
  <r>
    <n v="173"/>
    <d v="2011-01-08T00:00:00"/>
    <n v="1"/>
    <n v="0"/>
    <n v="1"/>
    <n v="11"/>
    <b v="0"/>
    <n v="6"/>
    <n v="2"/>
    <n v="0.2"/>
    <s v="Weekend"/>
    <x v="0"/>
    <s v="cloudy"/>
  </r>
  <r>
    <n v="174"/>
    <d v="2011-01-08T00:00:00"/>
    <n v="1"/>
    <n v="0"/>
    <n v="1"/>
    <n v="12"/>
    <b v="0"/>
    <n v="6"/>
    <n v="2"/>
    <n v="0.2"/>
    <s v="Weekend"/>
    <x v="1"/>
    <s v="cloudy"/>
  </r>
  <r>
    <n v="175"/>
    <d v="2011-01-08T00:00:00"/>
    <n v="1"/>
    <n v="0"/>
    <n v="1"/>
    <n v="13"/>
    <b v="0"/>
    <n v="6"/>
    <n v="1"/>
    <n v="0.2"/>
    <s v="Weekend"/>
    <x v="1"/>
    <s v="Clear"/>
  </r>
  <r>
    <n v="176"/>
    <d v="2011-01-08T00:00:00"/>
    <n v="1"/>
    <n v="0"/>
    <n v="1"/>
    <n v="14"/>
    <b v="0"/>
    <n v="6"/>
    <n v="1"/>
    <n v="0.2"/>
    <s v="Weekend"/>
    <x v="1"/>
    <s v="Clear"/>
  </r>
  <r>
    <n v="177"/>
    <d v="2011-01-08T00:00:00"/>
    <n v="1"/>
    <n v="0"/>
    <n v="1"/>
    <n v="15"/>
    <b v="0"/>
    <n v="6"/>
    <n v="1"/>
    <n v="0.2"/>
    <s v="Weekend"/>
    <x v="1"/>
    <s v="Clear"/>
  </r>
  <r>
    <n v="178"/>
    <d v="2011-01-08T00:00:00"/>
    <n v="1"/>
    <n v="0"/>
    <n v="1"/>
    <n v="16"/>
    <b v="0"/>
    <n v="6"/>
    <n v="1"/>
    <n v="0.18"/>
    <s v="Weekend"/>
    <x v="1"/>
    <s v="Clear"/>
  </r>
  <r>
    <n v="179"/>
    <d v="2011-01-08T00:00:00"/>
    <n v="1"/>
    <n v="0"/>
    <n v="1"/>
    <n v="17"/>
    <b v="0"/>
    <n v="6"/>
    <n v="1"/>
    <n v="0.16"/>
    <s v="Weekend"/>
    <x v="1"/>
    <s v="Clear"/>
  </r>
  <r>
    <n v="180"/>
    <d v="2011-01-08T00:00:00"/>
    <n v="1"/>
    <n v="0"/>
    <n v="1"/>
    <n v="18"/>
    <b v="0"/>
    <n v="6"/>
    <n v="1"/>
    <n v="0.14000000000000001"/>
    <s v="Weekend"/>
    <x v="2"/>
    <s v="Clear"/>
  </r>
  <r>
    <n v="181"/>
    <d v="2011-01-08T00:00:00"/>
    <n v="1"/>
    <n v="0"/>
    <n v="1"/>
    <n v="19"/>
    <b v="0"/>
    <n v="6"/>
    <n v="1"/>
    <n v="0.14000000000000001"/>
    <s v="Weekend"/>
    <x v="2"/>
    <s v="Clear"/>
  </r>
  <r>
    <n v="182"/>
    <d v="2011-01-08T00:00:00"/>
    <n v="1"/>
    <n v="0"/>
    <n v="1"/>
    <n v="20"/>
    <b v="0"/>
    <n v="6"/>
    <n v="1"/>
    <n v="0.12"/>
    <s v="Weekend"/>
    <x v="2"/>
    <s v="Clear"/>
  </r>
  <r>
    <n v="183"/>
    <d v="2011-01-08T00:00:00"/>
    <n v="1"/>
    <n v="0"/>
    <n v="1"/>
    <n v="21"/>
    <b v="0"/>
    <n v="6"/>
    <n v="1"/>
    <n v="0.12"/>
    <s v="Weekend"/>
    <x v="2"/>
    <s v="Clear"/>
  </r>
  <r>
    <n v="184"/>
    <d v="2011-01-08T00:00:00"/>
    <n v="1"/>
    <n v="0"/>
    <n v="1"/>
    <n v="22"/>
    <b v="0"/>
    <n v="6"/>
    <n v="1"/>
    <n v="0.12"/>
    <s v="Weekend"/>
    <x v="2"/>
    <s v="Clear"/>
  </r>
  <r>
    <n v="185"/>
    <d v="2011-01-08T00:00:00"/>
    <n v="1"/>
    <n v="0"/>
    <n v="1"/>
    <n v="23"/>
    <b v="0"/>
    <n v="6"/>
    <n v="1"/>
    <n v="0.1"/>
    <s v="Weekend"/>
    <x v="2"/>
    <s v="Clear"/>
  </r>
  <r>
    <n v="186"/>
    <d v="2011-01-09T00:00:00"/>
    <n v="1"/>
    <n v="0"/>
    <n v="1"/>
    <n v="0"/>
    <b v="0"/>
    <n v="0"/>
    <n v="1"/>
    <n v="0.1"/>
    <s v="Weekend"/>
    <x v="0"/>
    <s v="Clear"/>
  </r>
  <r>
    <n v="187"/>
    <d v="2011-01-09T00:00:00"/>
    <n v="1"/>
    <n v="0"/>
    <n v="1"/>
    <n v="1"/>
    <b v="0"/>
    <n v="0"/>
    <n v="1"/>
    <n v="0.1"/>
    <s v="Weekend"/>
    <x v="0"/>
    <s v="Clear"/>
  </r>
  <r>
    <n v="188"/>
    <d v="2011-01-09T00:00:00"/>
    <n v="1"/>
    <n v="0"/>
    <n v="1"/>
    <n v="2"/>
    <b v="0"/>
    <n v="0"/>
    <n v="1"/>
    <n v="0.1"/>
    <s v="Weekend"/>
    <x v="0"/>
    <s v="Clear"/>
  </r>
  <r>
    <n v="189"/>
    <d v="2011-01-09T00:00:00"/>
    <n v="1"/>
    <n v="0"/>
    <n v="1"/>
    <n v="3"/>
    <b v="0"/>
    <n v="0"/>
    <n v="1"/>
    <n v="0.1"/>
    <s v="Weekend"/>
    <x v="0"/>
    <s v="Clear"/>
  </r>
  <r>
    <n v="190"/>
    <d v="2011-01-09T00:00:00"/>
    <n v="1"/>
    <n v="0"/>
    <n v="1"/>
    <n v="4"/>
    <b v="0"/>
    <n v="0"/>
    <n v="1"/>
    <n v="0.08"/>
    <s v="Weekend"/>
    <x v="0"/>
    <s v="Clear"/>
  </r>
  <r>
    <n v="191"/>
    <d v="2011-01-09T00:00:00"/>
    <n v="1"/>
    <n v="0"/>
    <n v="1"/>
    <n v="5"/>
    <b v="0"/>
    <n v="0"/>
    <n v="1"/>
    <n v="0.08"/>
    <s v="Weekend"/>
    <x v="0"/>
    <s v="Clear"/>
  </r>
  <r>
    <n v="192"/>
    <d v="2011-01-09T00:00:00"/>
    <n v="1"/>
    <n v="0"/>
    <n v="1"/>
    <n v="6"/>
    <b v="0"/>
    <n v="0"/>
    <n v="1"/>
    <n v="0.1"/>
    <s v="Weekend"/>
    <x v="0"/>
    <s v="Clear"/>
  </r>
  <r>
    <n v="193"/>
    <d v="2011-01-09T00:00:00"/>
    <n v="1"/>
    <n v="0"/>
    <n v="1"/>
    <n v="7"/>
    <b v="0"/>
    <n v="0"/>
    <n v="1"/>
    <n v="0.08"/>
    <s v="Weekend"/>
    <x v="0"/>
    <s v="Clear"/>
  </r>
  <r>
    <n v="194"/>
    <d v="2011-01-09T00:00:00"/>
    <n v="1"/>
    <n v="0"/>
    <n v="1"/>
    <n v="8"/>
    <b v="0"/>
    <n v="0"/>
    <n v="1"/>
    <n v="0.1"/>
    <s v="Weekend"/>
    <x v="0"/>
    <s v="Clear"/>
  </r>
  <r>
    <n v="195"/>
    <d v="2011-01-09T00:00:00"/>
    <n v="1"/>
    <n v="0"/>
    <n v="1"/>
    <n v="9"/>
    <b v="0"/>
    <n v="0"/>
    <n v="1"/>
    <n v="0.12"/>
    <s v="Weekend"/>
    <x v="0"/>
    <s v="Clear"/>
  </r>
  <r>
    <n v="196"/>
    <d v="2011-01-09T00:00:00"/>
    <n v="1"/>
    <n v="0"/>
    <n v="1"/>
    <n v="10"/>
    <b v="0"/>
    <n v="0"/>
    <n v="1"/>
    <n v="0.14000000000000001"/>
    <s v="Weekend"/>
    <x v="0"/>
    <s v="Clear"/>
  </r>
  <r>
    <n v="197"/>
    <d v="2011-01-09T00:00:00"/>
    <n v="1"/>
    <n v="0"/>
    <n v="1"/>
    <n v="11"/>
    <b v="0"/>
    <n v="0"/>
    <n v="1"/>
    <n v="0.16"/>
    <s v="Weekend"/>
    <x v="0"/>
    <s v="Clear"/>
  </r>
  <r>
    <n v="198"/>
    <d v="2011-01-09T00:00:00"/>
    <n v="1"/>
    <n v="0"/>
    <n v="1"/>
    <n v="12"/>
    <b v="0"/>
    <n v="0"/>
    <n v="1"/>
    <n v="0.18"/>
    <s v="Weekend"/>
    <x v="1"/>
    <s v="Clear"/>
  </r>
  <r>
    <n v="199"/>
    <d v="2011-01-09T00:00:00"/>
    <n v="1"/>
    <n v="0"/>
    <n v="1"/>
    <n v="13"/>
    <b v="0"/>
    <n v="0"/>
    <n v="1"/>
    <n v="0.2"/>
    <s v="Weekend"/>
    <x v="1"/>
    <s v="Clear"/>
  </r>
  <r>
    <n v="200"/>
    <d v="2011-01-09T00:00:00"/>
    <n v="1"/>
    <n v="0"/>
    <n v="1"/>
    <n v="14"/>
    <b v="0"/>
    <n v="0"/>
    <n v="1"/>
    <n v="0.22"/>
    <s v="Weekend"/>
    <x v="1"/>
    <s v="Clear"/>
  </r>
  <r>
    <n v="201"/>
    <d v="2011-01-09T00:00:00"/>
    <n v="1"/>
    <n v="0"/>
    <n v="1"/>
    <n v="15"/>
    <b v="0"/>
    <n v="0"/>
    <n v="1"/>
    <n v="0.22"/>
    <s v="Weekend"/>
    <x v="1"/>
    <s v="Clear"/>
  </r>
  <r>
    <n v="202"/>
    <d v="2011-01-09T00:00:00"/>
    <n v="1"/>
    <n v="0"/>
    <n v="1"/>
    <n v="16"/>
    <b v="0"/>
    <n v="0"/>
    <n v="1"/>
    <n v="0.2"/>
    <s v="Weekend"/>
    <x v="1"/>
    <s v="Clear"/>
  </r>
  <r>
    <n v="203"/>
    <d v="2011-01-09T00:00:00"/>
    <n v="1"/>
    <n v="0"/>
    <n v="1"/>
    <n v="17"/>
    <b v="0"/>
    <n v="0"/>
    <n v="1"/>
    <n v="0.18"/>
    <s v="Weekend"/>
    <x v="1"/>
    <s v="Clear"/>
  </r>
  <r>
    <n v="204"/>
    <d v="2011-01-09T00:00:00"/>
    <n v="1"/>
    <n v="0"/>
    <n v="1"/>
    <n v="18"/>
    <b v="0"/>
    <n v="0"/>
    <n v="1"/>
    <n v="0.16"/>
    <s v="Weekend"/>
    <x v="2"/>
    <s v="Clear"/>
  </r>
  <r>
    <n v="205"/>
    <d v="2011-01-09T00:00:00"/>
    <n v="1"/>
    <n v="0"/>
    <n v="1"/>
    <n v="19"/>
    <b v="0"/>
    <n v="0"/>
    <n v="1"/>
    <n v="0.16"/>
    <s v="Weekend"/>
    <x v="2"/>
    <s v="Clear"/>
  </r>
  <r>
    <n v="206"/>
    <d v="2011-01-09T00:00:00"/>
    <n v="1"/>
    <n v="0"/>
    <n v="1"/>
    <n v="20"/>
    <b v="0"/>
    <n v="0"/>
    <n v="1"/>
    <n v="0.14000000000000001"/>
    <s v="Weekend"/>
    <x v="2"/>
    <s v="Clear"/>
  </r>
  <r>
    <n v="207"/>
    <d v="2011-01-09T00:00:00"/>
    <n v="1"/>
    <n v="0"/>
    <n v="1"/>
    <n v="21"/>
    <b v="0"/>
    <n v="0"/>
    <n v="1"/>
    <n v="0.14000000000000001"/>
    <s v="Weekend"/>
    <x v="2"/>
    <s v="Clear"/>
  </r>
  <r>
    <n v="208"/>
    <d v="2011-01-09T00:00:00"/>
    <n v="1"/>
    <n v="0"/>
    <n v="1"/>
    <n v="22"/>
    <b v="0"/>
    <n v="0"/>
    <n v="1"/>
    <n v="0.14000000000000001"/>
    <s v="Weekend"/>
    <x v="2"/>
    <s v="Clear"/>
  </r>
  <r>
    <n v="209"/>
    <d v="2011-01-09T00:00:00"/>
    <n v="1"/>
    <n v="0"/>
    <n v="1"/>
    <n v="23"/>
    <b v="0"/>
    <n v="0"/>
    <n v="1"/>
    <n v="0.12"/>
    <s v="Weekend"/>
    <x v="2"/>
    <s v="Clear"/>
  </r>
  <r>
    <n v="210"/>
    <d v="2011-01-10T00:00:00"/>
    <n v="1"/>
    <n v="0"/>
    <n v="1"/>
    <n v="0"/>
    <b v="0"/>
    <n v="1"/>
    <n v="1"/>
    <n v="0.12"/>
    <s v="Weekday"/>
    <x v="0"/>
    <s v="Clear"/>
  </r>
  <r>
    <n v="211"/>
    <d v="2011-01-10T00:00:00"/>
    <n v="1"/>
    <n v="0"/>
    <n v="1"/>
    <n v="1"/>
    <b v="0"/>
    <n v="1"/>
    <n v="1"/>
    <n v="0.12"/>
    <s v="Weekday"/>
    <x v="0"/>
    <s v="Clear"/>
  </r>
  <r>
    <n v="212"/>
    <d v="2011-01-10T00:00:00"/>
    <n v="1"/>
    <n v="0"/>
    <n v="1"/>
    <n v="2"/>
    <b v="0"/>
    <n v="1"/>
    <n v="1"/>
    <n v="0.12"/>
    <s v="Weekday"/>
    <x v="0"/>
    <s v="Clear"/>
  </r>
  <r>
    <n v="213"/>
    <d v="2011-01-10T00:00:00"/>
    <n v="1"/>
    <n v="0"/>
    <n v="1"/>
    <n v="3"/>
    <b v="0"/>
    <n v="1"/>
    <n v="1"/>
    <n v="0.12"/>
    <s v="Weekday"/>
    <x v="0"/>
    <s v="Clear"/>
  </r>
  <r>
    <n v="214"/>
    <d v="2011-01-10T00:00:00"/>
    <n v="1"/>
    <n v="0"/>
    <n v="1"/>
    <n v="4"/>
    <b v="0"/>
    <n v="1"/>
    <n v="1"/>
    <n v="0.1"/>
    <s v="Weekday"/>
    <x v="0"/>
    <s v="Clear"/>
  </r>
  <r>
    <n v="215"/>
    <d v="2011-01-10T00:00:00"/>
    <n v="1"/>
    <n v="0"/>
    <n v="1"/>
    <n v="5"/>
    <b v="0"/>
    <n v="1"/>
    <n v="1"/>
    <n v="0.1"/>
    <s v="Weekday"/>
    <x v="0"/>
    <s v="Clear"/>
  </r>
  <r>
    <n v="216"/>
    <d v="2011-01-10T00:00:00"/>
    <n v="1"/>
    <n v="0"/>
    <n v="1"/>
    <n v="6"/>
    <b v="0"/>
    <n v="1"/>
    <n v="1"/>
    <n v="0.12"/>
    <s v="Weekday"/>
    <x v="0"/>
    <s v="Clear"/>
  </r>
  <r>
    <n v="217"/>
    <d v="2011-01-10T00:00:00"/>
    <n v="1"/>
    <n v="0"/>
    <n v="1"/>
    <n v="7"/>
    <b v="0"/>
    <n v="1"/>
    <n v="1"/>
    <n v="0.12"/>
    <s v="Weekday"/>
    <x v="0"/>
    <s v="Clear"/>
  </r>
  <r>
    <n v="218"/>
    <d v="2011-01-10T00:00:00"/>
    <n v="1"/>
    <n v="0"/>
    <n v="1"/>
    <n v="8"/>
    <b v="0"/>
    <n v="1"/>
    <n v="2"/>
    <n v="0.12"/>
    <s v="Weekday"/>
    <x v="0"/>
    <s v="cloudy"/>
  </r>
  <r>
    <n v="219"/>
    <d v="2011-01-10T00:00:00"/>
    <n v="1"/>
    <n v="0"/>
    <n v="1"/>
    <n v="9"/>
    <b v="0"/>
    <n v="1"/>
    <n v="2"/>
    <n v="0.14000000000000001"/>
    <s v="Weekday"/>
    <x v="0"/>
    <s v="cloudy"/>
  </r>
  <r>
    <n v="220"/>
    <d v="2011-01-10T00:00:00"/>
    <n v="1"/>
    <n v="0"/>
    <n v="1"/>
    <n v="10"/>
    <b v="0"/>
    <n v="1"/>
    <n v="2"/>
    <n v="0.14000000000000001"/>
    <s v="Weekday"/>
    <x v="0"/>
    <s v="cloudy"/>
  </r>
  <r>
    <n v="221"/>
    <d v="2011-01-10T00:00:00"/>
    <n v="1"/>
    <n v="0"/>
    <n v="1"/>
    <n v="11"/>
    <b v="0"/>
    <n v="1"/>
    <n v="2"/>
    <n v="0.16"/>
    <s v="Weekday"/>
    <x v="0"/>
    <s v="cloudy"/>
  </r>
  <r>
    <n v="222"/>
    <d v="2011-01-10T00:00:00"/>
    <n v="1"/>
    <n v="0"/>
    <n v="1"/>
    <n v="12"/>
    <b v="0"/>
    <n v="1"/>
    <n v="2"/>
    <n v="0.2"/>
    <s v="Weekday"/>
    <x v="1"/>
    <s v="cloudy"/>
  </r>
  <r>
    <n v="223"/>
    <d v="2011-01-10T00:00:00"/>
    <n v="1"/>
    <n v="0"/>
    <n v="1"/>
    <n v="13"/>
    <b v="0"/>
    <n v="1"/>
    <n v="2"/>
    <n v="0.2"/>
    <s v="Weekday"/>
    <x v="1"/>
    <s v="cloudy"/>
  </r>
  <r>
    <n v="224"/>
    <d v="2011-01-10T00:00:00"/>
    <n v="1"/>
    <n v="0"/>
    <n v="1"/>
    <n v="14"/>
    <b v="0"/>
    <n v="1"/>
    <n v="2"/>
    <n v="0.2"/>
    <s v="Weekday"/>
    <x v="1"/>
    <s v="cloudy"/>
  </r>
  <r>
    <n v="225"/>
    <d v="2011-01-10T00:00:00"/>
    <n v="1"/>
    <n v="0"/>
    <n v="1"/>
    <n v="15"/>
    <b v="0"/>
    <n v="1"/>
    <n v="2"/>
    <n v="0.2"/>
    <s v="Weekday"/>
    <x v="1"/>
    <s v="cloudy"/>
  </r>
  <r>
    <n v="226"/>
    <d v="2011-01-10T00:00:00"/>
    <n v="1"/>
    <n v="0"/>
    <n v="1"/>
    <n v="16"/>
    <b v="0"/>
    <n v="1"/>
    <n v="1"/>
    <n v="0.2"/>
    <s v="Weekday"/>
    <x v="1"/>
    <s v="Clear"/>
  </r>
  <r>
    <n v="227"/>
    <d v="2011-01-10T00:00:00"/>
    <n v="1"/>
    <n v="0"/>
    <n v="1"/>
    <n v="17"/>
    <b v="0"/>
    <n v="1"/>
    <n v="1"/>
    <n v="0.2"/>
    <s v="Weekday"/>
    <x v="1"/>
    <s v="Clear"/>
  </r>
  <r>
    <n v="228"/>
    <d v="2011-01-10T00:00:00"/>
    <n v="1"/>
    <n v="0"/>
    <n v="1"/>
    <n v="18"/>
    <b v="0"/>
    <n v="1"/>
    <n v="1"/>
    <n v="0.2"/>
    <s v="Weekday"/>
    <x v="2"/>
    <s v="Clear"/>
  </r>
  <r>
    <n v="229"/>
    <d v="2011-01-10T00:00:00"/>
    <n v="1"/>
    <n v="0"/>
    <n v="1"/>
    <n v="19"/>
    <b v="0"/>
    <n v="1"/>
    <n v="1"/>
    <n v="0.16"/>
    <s v="Weekday"/>
    <x v="2"/>
    <s v="Clear"/>
  </r>
  <r>
    <n v="230"/>
    <d v="2011-01-10T00:00:00"/>
    <n v="1"/>
    <n v="0"/>
    <n v="1"/>
    <n v="20"/>
    <b v="0"/>
    <n v="1"/>
    <n v="1"/>
    <n v="0.16"/>
    <s v="Weekday"/>
    <x v="2"/>
    <s v="Clear"/>
  </r>
  <r>
    <n v="231"/>
    <d v="2011-01-10T00:00:00"/>
    <n v="1"/>
    <n v="0"/>
    <n v="1"/>
    <n v="21"/>
    <b v="0"/>
    <n v="1"/>
    <n v="1"/>
    <n v="0.14000000000000001"/>
    <s v="Weekday"/>
    <x v="2"/>
    <s v="Clear"/>
  </r>
  <r>
    <n v="232"/>
    <d v="2011-01-10T00:00:00"/>
    <n v="1"/>
    <n v="0"/>
    <n v="1"/>
    <n v="22"/>
    <b v="0"/>
    <n v="1"/>
    <n v="1"/>
    <n v="0.14000000000000001"/>
    <s v="Weekday"/>
    <x v="2"/>
    <s v="Clear"/>
  </r>
  <r>
    <n v="233"/>
    <d v="2011-01-10T00:00:00"/>
    <n v="1"/>
    <n v="0"/>
    <n v="1"/>
    <n v="23"/>
    <b v="0"/>
    <n v="1"/>
    <n v="1"/>
    <n v="0.14000000000000001"/>
    <s v="Weekday"/>
    <x v="2"/>
    <s v="Clear"/>
  </r>
  <r>
    <n v="234"/>
    <d v="2011-01-11T00:00:00"/>
    <n v="1"/>
    <n v="0"/>
    <n v="1"/>
    <n v="0"/>
    <b v="0"/>
    <n v="2"/>
    <n v="1"/>
    <n v="0.14000000000000001"/>
    <s v="Weekday"/>
    <x v="0"/>
    <s v="Clear"/>
  </r>
  <r>
    <n v="235"/>
    <d v="2011-01-11T00:00:00"/>
    <n v="1"/>
    <n v="0"/>
    <n v="1"/>
    <n v="1"/>
    <b v="0"/>
    <n v="2"/>
    <n v="1"/>
    <n v="0.14000000000000001"/>
    <s v="Weekday"/>
    <x v="0"/>
    <s v="Clear"/>
  </r>
  <r>
    <n v="236"/>
    <d v="2011-01-11T00:00:00"/>
    <n v="1"/>
    <n v="0"/>
    <n v="1"/>
    <n v="2"/>
    <b v="0"/>
    <n v="2"/>
    <n v="2"/>
    <n v="0.16"/>
    <s v="Weekday"/>
    <x v="0"/>
    <s v="cloudy"/>
  </r>
  <r>
    <n v="237"/>
    <d v="2011-01-11T00:00:00"/>
    <n v="1"/>
    <n v="0"/>
    <n v="1"/>
    <n v="5"/>
    <b v="0"/>
    <n v="2"/>
    <n v="2"/>
    <n v="0.16"/>
    <s v="Weekday"/>
    <x v="0"/>
    <s v="cloudy"/>
  </r>
  <r>
    <n v="238"/>
    <d v="2011-01-11T00:00:00"/>
    <n v="1"/>
    <n v="0"/>
    <n v="1"/>
    <n v="6"/>
    <b v="0"/>
    <n v="2"/>
    <n v="2"/>
    <n v="0.16"/>
    <s v="Weekday"/>
    <x v="0"/>
    <s v="cloudy"/>
  </r>
  <r>
    <n v="239"/>
    <d v="2011-01-11T00:00:00"/>
    <n v="1"/>
    <n v="0"/>
    <n v="1"/>
    <n v="7"/>
    <b v="0"/>
    <n v="2"/>
    <n v="2"/>
    <n v="0.16"/>
    <s v="Weekday"/>
    <x v="0"/>
    <s v="cloudy"/>
  </r>
  <r>
    <n v="240"/>
    <d v="2011-01-11T00:00:00"/>
    <n v="1"/>
    <n v="0"/>
    <n v="1"/>
    <n v="8"/>
    <b v="0"/>
    <n v="2"/>
    <n v="2"/>
    <n v="0.18"/>
    <s v="Weekday"/>
    <x v="0"/>
    <s v="cloudy"/>
  </r>
  <r>
    <n v="241"/>
    <d v="2011-01-11T00:00:00"/>
    <n v="1"/>
    <n v="0"/>
    <n v="1"/>
    <n v="9"/>
    <b v="0"/>
    <n v="2"/>
    <n v="2"/>
    <n v="0.18"/>
    <s v="Weekday"/>
    <x v="0"/>
    <s v="cloudy"/>
  </r>
  <r>
    <n v="242"/>
    <d v="2011-01-11T00:00:00"/>
    <n v="1"/>
    <n v="0"/>
    <n v="1"/>
    <n v="10"/>
    <b v="0"/>
    <n v="2"/>
    <n v="2"/>
    <n v="0.2"/>
    <s v="Weekday"/>
    <x v="0"/>
    <s v="cloudy"/>
  </r>
  <r>
    <n v="243"/>
    <d v="2011-01-11T00:00:00"/>
    <n v="1"/>
    <n v="0"/>
    <n v="1"/>
    <n v="11"/>
    <b v="0"/>
    <n v="2"/>
    <n v="2"/>
    <n v="0.2"/>
    <s v="Weekday"/>
    <x v="0"/>
    <s v="cloudy"/>
  </r>
  <r>
    <n v="244"/>
    <d v="2011-01-11T00:00:00"/>
    <n v="1"/>
    <n v="0"/>
    <n v="1"/>
    <n v="12"/>
    <b v="0"/>
    <n v="2"/>
    <n v="2"/>
    <n v="0.2"/>
    <s v="Weekday"/>
    <x v="1"/>
    <s v="cloudy"/>
  </r>
  <r>
    <n v="245"/>
    <d v="2011-01-11T00:00:00"/>
    <n v="1"/>
    <n v="0"/>
    <n v="1"/>
    <n v="13"/>
    <b v="0"/>
    <n v="2"/>
    <n v="2"/>
    <n v="0.2"/>
    <s v="Weekday"/>
    <x v="1"/>
    <s v="cloudy"/>
  </r>
  <r>
    <n v="246"/>
    <d v="2011-01-11T00:00:00"/>
    <n v="1"/>
    <n v="0"/>
    <n v="1"/>
    <n v="14"/>
    <b v="0"/>
    <n v="2"/>
    <n v="2"/>
    <n v="0.2"/>
    <s v="Weekday"/>
    <x v="1"/>
    <s v="cloudy"/>
  </r>
  <r>
    <n v="247"/>
    <d v="2011-01-11T00:00:00"/>
    <n v="1"/>
    <n v="0"/>
    <n v="1"/>
    <n v="15"/>
    <b v="0"/>
    <n v="2"/>
    <n v="2"/>
    <n v="0.16"/>
    <s v="Weekday"/>
    <x v="1"/>
    <s v="cloudy"/>
  </r>
  <r>
    <n v="248"/>
    <d v="2011-01-11T00:00:00"/>
    <n v="1"/>
    <n v="0"/>
    <n v="1"/>
    <n v="16"/>
    <b v="0"/>
    <n v="2"/>
    <n v="2"/>
    <n v="0.16"/>
    <s v="Weekday"/>
    <x v="1"/>
    <s v="cloudy"/>
  </r>
  <r>
    <n v="249"/>
    <d v="2011-01-11T00:00:00"/>
    <n v="1"/>
    <n v="0"/>
    <n v="1"/>
    <n v="17"/>
    <b v="0"/>
    <n v="2"/>
    <n v="2"/>
    <n v="0.16"/>
    <s v="Weekday"/>
    <x v="1"/>
    <s v="cloudy"/>
  </r>
  <r>
    <n v="250"/>
    <d v="2011-01-11T00:00:00"/>
    <n v="1"/>
    <n v="0"/>
    <n v="1"/>
    <n v="18"/>
    <b v="0"/>
    <n v="2"/>
    <n v="3"/>
    <n v="0.16"/>
    <s v="Weekday"/>
    <x v="2"/>
    <s v="Rain"/>
  </r>
  <r>
    <n v="251"/>
    <d v="2011-01-11T00:00:00"/>
    <n v="1"/>
    <n v="0"/>
    <n v="1"/>
    <n v="19"/>
    <b v="0"/>
    <n v="2"/>
    <n v="3"/>
    <n v="0.16"/>
    <s v="Weekday"/>
    <x v="2"/>
    <s v="Rain"/>
  </r>
  <r>
    <n v="252"/>
    <d v="2011-01-11T00:00:00"/>
    <n v="1"/>
    <n v="0"/>
    <n v="1"/>
    <n v="20"/>
    <b v="0"/>
    <n v="2"/>
    <n v="3"/>
    <n v="0.16"/>
    <s v="Weekday"/>
    <x v="2"/>
    <s v="Rain"/>
  </r>
  <r>
    <n v="253"/>
    <d v="2011-01-11T00:00:00"/>
    <n v="1"/>
    <n v="0"/>
    <n v="1"/>
    <n v="21"/>
    <b v="0"/>
    <n v="2"/>
    <n v="3"/>
    <n v="0.16"/>
    <s v="Weekday"/>
    <x v="2"/>
    <s v="Rain"/>
  </r>
  <r>
    <n v="254"/>
    <d v="2011-01-11T00:00:00"/>
    <n v="1"/>
    <n v="0"/>
    <n v="1"/>
    <n v="22"/>
    <b v="0"/>
    <n v="2"/>
    <n v="3"/>
    <n v="0.16"/>
    <s v="Weekday"/>
    <x v="2"/>
    <s v="Rain"/>
  </r>
  <r>
    <n v="255"/>
    <d v="2011-01-11T00:00:00"/>
    <n v="1"/>
    <n v="0"/>
    <n v="1"/>
    <n v="23"/>
    <b v="0"/>
    <n v="2"/>
    <n v="3"/>
    <n v="0.16"/>
    <s v="Weekday"/>
    <x v="2"/>
    <s v="Rain"/>
  </r>
  <r>
    <n v="256"/>
    <d v="2011-01-12T00:00:00"/>
    <n v="1"/>
    <n v="0"/>
    <n v="1"/>
    <n v="0"/>
    <b v="0"/>
    <n v="3"/>
    <n v="2"/>
    <n v="0.16"/>
    <s v="Weekday"/>
    <x v="0"/>
    <s v="cloudy"/>
  </r>
  <r>
    <n v="257"/>
    <d v="2011-01-12T00:00:00"/>
    <n v="1"/>
    <n v="0"/>
    <n v="1"/>
    <n v="1"/>
    <b v="0"/>
    <n v="3"/>
    <n v="2"/>
    <n v="0.16"/>
    <s v="Weekday"/>
    <x v="0"/>
    <s v="cloudy"/>
  </r>
  <r>
    <n v="258"/>
    <d v="2011-01-12T00:00:00"/>
    <n v="1"/>
    <n v="0"/>
    <n v="1"/>
    <n v="2"/>
    <b v="0"/>
    <n v="3"/>
    <n v="1"/>
    <n v="0.14000000000000001"/>
    <s v="Weekday"/>
    <x v="0"/>
    <s v="Clear"/>
  </r>
  <r>
    <n v="259"/>
    <d v="2011-01-12T00:00:00"/>
    <n v="1"/>
    <n v="0"/>
    <n v="1"/>
    <n v="5"/>
    <b v="0"/>
    <n v="3"/>
    <n v="1"/>
    <n v="0.14000000000000001"/>
    <s v="Weekday"/>
    <x v="0"/>
    <s v="Clear"/>
  </r>
  <r>
    <n v="260"/>
    <d v="2011-01-12T00:00:00"/>
    <n v="1"/>
    <n v="0"/>
    <n v="1"/>
    <n v="6"/>
    <b v="0"/>
    <n v="3"/>
    <n v="1"/>
    <n v="0.12"/>
    <s v="Weekday"/>
    <x v="0"/>
    <s v="Clear"/>
  </r>
  <r>
    <n v="261"/>
    <d v="2011-01-12T00:00:00"/>
    <n v="1"/>
    <n v="0"/>
    <n v="1"/>
    <n v="7"/>
    <b v="0"/>
    <n v="3"/>
    <n v="1"/>
    <n v="0.14000000000000001"/>
    <s v="Weekday"/>
    <x v="0"/>
    <s v="Clear"/>
  </r>
  <r>
    <n v="262"/>
    <d v="2011-01-12T00:00:00"/>
    <n v="1"/>
    <n v="0"/>
    <n v="1"/>
    <n v="8"/>
    <b v="0"/>
    <n v="3"/>
    <n v="1"/>
    <n v="0.16"/>
    <s v="Weekday"/>
    <x v="0"/>
    <s v="Clear"/>
  </r>
  <r>
    <n v="263"/>
    <d v="2011-01-12T00:00:00"/>
    <n v="1"/>
    <n v="0"/>
    <n v="1"/>
    <n v="9"/>
    <b v="0"/>
    <n v="3"/>
    <n v="1"/>
    <n v="0.16"/>
    <s v="Weekday"/>
    <x v="0"/>
    <s v="Clear"/>
  </r>
  <r>
    <n v="264"/>
    <d v="2011-01-12T00:00:00"/>
    <n v="1"/>
    <n v="0"/>
    <n v="1"/>
    <n v="10"/>
    <b v="0"/>
    <n v="3"/>
    <n v="1"/>
    <n v="0.18"/>
    <s v="Weekday"/>
    <x v="0"/>
    <s v="Clear"/>
  </r>
  <r>
    <n v="265"/>
    <d v="2011-01-12T00:00:00"/>
    <n v="1"/>
    <n v="0"/>
    <n v="1"/>
    <n v="11"/>
    <b v="0"/>
    <n v="3"/>
    <n v="1"/>
    <n v="0.2"/>
    <s v="Weekday"/>
    <x v="0"/>
    <s v="Clear"/>
  </r>
  <r>
    <n v="266"/>
    <d v="2011-01-12T00:00:00"/>
    <n v="1"/>
    <n v="0"/>
    <n v="1"/>
    <n v="12"/>
    <b v="0"/>
    <n v="3"/>
    <n v="1"/>
    <n v="0.2"/>
    <s v="Weekday"/>
    <x v="1"/>
    <s v="Clear"/>
  </r>
  <r>
    <n v="267"/>
    <d v="2011-01-12T00:00:00"/>
    <n v="1"/>
    <n v="0"/>
    <n v="1"/>
    <n v="13"/>
    <b v="0"/>
    <n v="3"/>
    <n v="1"/>
    <n v="0.22"/>
    <s v="Weekday"/>
    <x v="1"/>
    <s v="Clear"/>
  </r>
  <r>
    <n v="268"/>
    <d v="2011-01-12T00:00:00"/>
    <n v="1"/>
    <n v="0"/>
    <n v="1"/>
    <n v="14"/>
    <b v="0"/>
    <n v="3"/>
    <n v="1"/>
    <n v="0.2"/>
    <s v="Weekday"/>
    <x v="1"/>
    <s v="Clear"/>
  </r>
  <r>
    <n v="269"/>
    <d v="2011-01-12T00:00:00"/>
    <n v="1"/>
    <n v="0"/>
    <n v="1"/>
    <n v="15"/>
    <b v="0"/>
    <n v="3"/>
    <n v="1"/>
    <n v="0.2"/>
    <s v="Weekday"/>
    <x v="1"/>
    <s v="Clear"/>
  </r>
  <r>
    <n v="270"/>
    <d v="2011-01-12T00:00:00"/>
    <n v="1"/>
    <n v="0"/>
    <n v="1"/>
    <n v="16"/>
    <b v="0"/>
    <n v="3"/>
    <n v="1"/>
    <n v="0.22"/>
    <s v="Weekday"/>
    <x v="1"/>
    <s v="Clear"/>
  </r>
  <r>
    <n v="271"/>
    <d v="2011-01-12T00:00:00"/>
    <n v="1"/>
    <n v="0"/>
    <n v="1"/>
    <n v="17"/>
    <b v="0"/>
    <n v="3"/>
    <n v="1"/>
    <n v="0.2"/>
    <s v="Weekday"/>
    <x v="1"/>
    <s v="Clear"/>
  </r>
  <r>
    <n v="272"/>
    <d v="2011-01-12T00:00:00"/>
    <n v="1"/>
    <n v="0"/>
    <n v="1"/>
    <n v="18"/>
    <b v="0"/>
    <n v="3"/>
    <n v="1"/>
    <n v="0.2"/>
    <s v="Weekday"/>
    <x v="2"/>
    <s v="Clear"/>
  </r>
  <r>
    <n v="273"/>
    <d v="2011-01-12T00:00:00"/>
    <n v="1"/>
    <n v="0"/>
    <n v="1"/>
    <n v="19"/>
    <b v="0"/>
    <n v="3"/>
    <n v="1"/>
    <n v="0.18"/>
    <s v="Weekday"/>
    <x v="2"/>
    <s v="Clear"/>
  </r>
  <r>
    <n v="274"/>
    <d v="2011-01-12T00:00:00"/>
    <n v="1"/>
    <n v="0"/>
    <n v="1"/>
    <n v="20"/>
    <b v="0"/>
    <n v="3"/>
    <n v="1"/>
    <n v="0.16"/>
    <s v="Weekday"/>
    <x v="2"/>
    <s v="Clear"/>
  </r>
  <r>
    <n v="275"/>
    <d v="2011-01-12T00:00:00"/>
    <n v="1"/>
    <n v="0"/>
    <n v="1"/>
    <n v="21"/>
    <b v="0"/>
    <n v="3"/>
    <n v="1"/>
    <n v="0.16"/>
    <s v="Weekday"/>
    <x v="2"/>
    <s v="Clear"/>
  </r>
  <r>
    <n v="276"/>
    <d v="2011-01-12T00:00:00"/>
    <n v="1"/>
    <n v="0"/>
    <n v="1"/>
    <n v="22"/>
    <b v="0"/>
    <n v="3"/>
    <n v="1"/>
    <n v="0.16"/>
    <s v="Weekday"/>
    <x v="2"/>
    <s v="Clear"/>
  </r>
  <r>
    <n v="277"/>
    <d v="2011-01-12T00:00:00"/>
    <n v="1"/>
    <n v="0"/>
    <n v="1"/>
    <n v="23"/>
    <b v="0"/>
    <n v="3"/>
    <n v="1"/>
    <n v="0.14000000000000001"/>
    <s v="Weekday"/>
    <x v="2"/>
    <s v="Clear"/>
  </r>
  <r>
    <n v="278"/>
    <d v="2011-01-13T00:00:00"/>
    <n v="1"/>
    <n v="0"/>
    <n v="1"/>
    <n v="0"/>
    <b v="0"/>
    <n v="4"/>
    <n v="1"/>
    <n v="0.14000000000000001"/>
    <s v="Weekday"/>
    <x v="0"/>
    <s v="Clear"/>
  </r>
  <r>
    <n v="279"/>
    <d v="2011-01-13T00:00:00"/>
    <n v="1"/>
    <n v="0"/>
    <n v="1"/>
    <n v="1"/>
    <b v="0"/>
    <n v="4"/>
    <n v="1"/>
    <n v="0.14000000000000001"/>
    <s v="Weekday"/>
    <x v="0"/>
    <s v="Clear"/>
  </r>
  <r>
    <n v="280"/>
    <d v="2011-01-13T00:00:00"/>
    <n v="1"/>
    <n v="0"/>
    <n v="1"/>
    <n v="2"/>
    <b v="0"/>
    <n v="4"/>
    <n v="1"/>
    <n v="0.14000000000000001"/>
    <s v="Weekday"/>
    <x v="0"/>
    <s v="Clear"/>
  </r>
  <r>
    <n v="281"/>
    <d v="2011-01-13T00:00:00"/>
    <n v="1"/>
    <n v="0"/>
    <n v="1"/>
    <n v="3"/>
    <b v="0"/>
    <n v="4"/>
    <n v="1"/>
    <n v="0.14000000000000001"/>
    <s v="Weekday"/>
    <x v="0"/>
    <s v="Clear"/>
  </r>
  <r>
    <n v="282"/>
    <d v="2011-01-13T00:00:00"/>
    <n v="1"/>
    <n v="0"/>
    <n v="1"/>
    <n v="4"/>
    <b v="0"/>
    <n v="4"/>
    <n v="1"/>
    <n v="0.14000000000000001"/>
    <s v="Weekday"/>
    <x v="0"/>
    <s v="Clear"/>
  </r>
  <r>
    <n v="283"/>
    <d v="2011-01-13T00:00:00"/>
    <n v="1"/>
    <n v="0"/>
    <n v="1"/>
    <n v="5"/>
    <b v="0"/>
    <n v="4"/>
    <n v="1"/>
    <n v="0.14000000000000001"/>
    <s v="Weekday"/>
    <x v="0"/>
    <s v="Clear"/>
  </r>
  <r>
    <n v="284"/>
    <d v="2011-01-13T00:00:00"/>
    <n v="1"/>
    <n v="0"/>
    <n v="1"/>
    <n v="6"/>
    <b v="0"/>
    <n v="4"/>
    <n v="1"/>
    <n v="0.12"/>
    <s v="Weekday"/>
    <x v="0"/>
    <s v="Clear"/>
  </r>
  <r>
    <n v="285"/>
    <d v="2011-01-13T00:00:00"/>
    <n v="1"/>
    <n v="0"/>
    <n v="1"/>
    <n v="7"/>
    <b v="0"/>
    <n v="4"/>
    <n v="1"/>
    <n v="0.12"/>
    <s v="Weekday"/>
    <x v="0"/>
    <s v="Clear"/>
  </r>
  <r>
    <n v="286"/>
    <d v="2011-01-13T00:00:00"/>
    <n v="1"/>
    <n v="0"/>
    <n v="1"/>
    <n v="8"/>
    <b v="0"/>
    <n v="4"/>
    <n v="1"/>
    <n v="0.14000000000000001"/>
    <s v="Weekday"/>
    <x v="0"/>
    <s v="Clear"/>
  </r>
  <r>
    <n v="287"/>
    <d v="2011-01-13T00:00:00"/>
    <n v="1"/>
    <n v="0"/>
    <n v="1"/>
    <n v="9"/>
    <b v="0"/>
    <n v="4"/>
    <n v="1"/>
    <n v="0.14000000000000001"/>
    <s v="Weekday"/>
    <x v="0"/>
    <s v="Clear"/>
  </r>
  <r>
    <n v="288"/>
    <d v="2011-01-13T00:00:00"/>
    <n v="1"/>
    <n v="0"/>
    <n v="1"/>
    <n v="10"/>
    <b v="0"/>
    <n v="4"/>
    <n v="2"/>
    <n v="0.16"/>
    <s v="Weekday"/>
    <x v="0"/>
    <s v="cloudy"/>
  </r>
  <r>
    <n v="289"/>
    <d v="2011-01-13T00:00:00"/>
    <n v="1"/>
    <n v="0"/>
    <n v="1"/>
    <n v="11"/>
    <b v="0"/>
    <n v="4"/>
    <n v="2"/>
    <n v="0.2"/>
    <s v="Weekday"/>
    <x v="0"/>
    <s v="cloudy"/>
  </r>
  <r>
    <n v="290"/>
    <d v="2011-01-13T00:00:00"/>
    <n v="1"/>
    <n v="0"/>
    <n v="1"/>
    <n v="12"/>
    <b v="0"/>
    <n v="4"/>
    <n v="1"/>
    <n v="0.2"/>
    <s v="Weekday"/>
    <x v="1"/>
    <s v="Clear"/>
  </r>
  <r>
    <n v="291"/>
    <d v="2011-01-13T00:00:00"/>
    <n v="1"/>
    <n v="0"/>
    <n v="1"/>
    <n v="13"/>
    <b v="0"/>
    <n v="4"/>
    <n v="1"/>
    <n v="0.22"/>
    <s v="Weekday"/>
    <x v="1"/>
    <s v="Clear"/>
  </r>
  <r>
    <n v="292"/>
    <d v="2011-01-13T00:00:00"/>
    <n v="1"/>
    <n v="0"/>
    <n v="1"/>
    <n v="14"/>
    <b v="0"/>
    <n v="4"/>
    <n v="1"/>
    <n v="0.22"/>
    <s v="Weekday"/>
    <x v="1"/>
    <s v="Clear"/>
  </r>
  <r>
    <n v="293"/>
    <d v="2011-01-13T00:00:00"/>
    <n v="1"/>
    <n v="0"/>
    <n v="1"/>
    <n v="15"/>
    <b v="0"/>
    <n v="4"/>
    <n v="1"/>
    <n v="0.24"/>
    <s v="Weekday"/>
    <x v="1"/>
    <s v="Clear"/>
  </r>
  <r>
    <n v="294"/>
    <d v="2011-01-13T00:00:00"/>
    <n v="1"/>
    <n v="0"/>
    <n v="1"/>
    <n v="16"/>
    <b v="0"/>
    <n v="4"/>
    <n v="1"/>
    <n v="0.24"/>
    <s v="Weekday"/>
    <x v="1"/>
    <s v="Clear"/>
  </r>
  <r>
    <n v="295"/>
    <d v="2011-01-13T00:00:00"/>
    <n v="1"/>
    <n v="0"/>
    <n v="1"/>
    <n v="17"/>
    <b v="0"/>
    <n v="4"/>
    <n v="1"/>
    <n v="0.2"/>
    <s v="Weekday"/>
    <x v="1"/>
    <s v="Clear"/>
  </r>
  <r>
    <n v="296"/>
    <d v="2011-01-13T00:00:00"/>
    <n v="1"/>
    <n v="0"/>
    <n v="1"/>
    <n v="18"/>
    <b v="0"/>
    <n v="4"/>
    <n v="1"/>
    <n v="0.2"/>
    <s v="Weekday"/>
    <x v="2"/>
    <s v="Clear"/>
  </r>
  <r>
    <n v="297"/>
    <d v="2011-01-13T00:00:00"/>
    <n v="1"/>
    <n v="0"/>
    <n v="1"/>
    <n v="19"/>
    <b v="0"/>
    <n v="4"/>
    <n v="1"/>
    <n v="0.16"/>
    <s v="Weekday"/>
    <x v="2"/>
    <s v="Clear"/>
  </r>
  <r>
    <n v="298"/>
    <d v="2011-01-13T00:00:00"/>
    <n v="1"/>
    <n v="0"/>
    <n v="1"/>
    <n v="20"/>
    <b v="0"/>
    <n v="4"/>
    <n v="1"/>
    <n v="0.16"/>
    <s v="Weekday"/>
    <x v="2"/>
    <s v="Clear"/>
  </r>
  <r>
    <n v="299"/>
    <d v="2011-01-13T00:00:00"/>
    <n v="1"/>
    <n v="0"/>
    <n v="1"/>
    <n v="21"/>
    <b v="0"/>
    <n v="4"/>
    <n v="1"/>
    <n v="0.14000000000000001"/>
    <s v="Weekday"/>
    <x v="2"/>
    <s v="Clear"/>
  </r>
  <r>
    <n v="300"/>
    <d v="2011-01-13T00:00:00"/>
    <n v="1"/>
    <n v="0"/>
    <n v="1"/>
    <n v="22"/>
    <b v="0"/>
    <n v="4"/>
    <n v="1"/>
    <n v="0.14000000000000001"/>
    <s v="Weekday"/>
    <x v="2"/>
    <s v="Clear"/>
  </r>
  <r>
    <n v="301"/>
    <d v="2011-01-13T00:00:00"/>
    <n v="1"/>
    <n v="0"/>
    <n v="1"/>
    <n v="23"/>
    <b v="0"/>
    <n v="4"/>
    <n v="1"/>
    <n v="0.12"/>
    <s v="Weekday"/>
    <x v="2"/>
    <s v="Clear"/>
  </r>
  <r>
    <n v="302"/>
    <d v="2011-01-14T00:00:00"/>
    <n v="1"/>
    <n v="0"/>
    <n v="1"/>
    <n v="0"/>
    <b v="0"/>
    <n v="5"/>
    <n v="1"/>
    <n v="0.12"/>
    <s v="Weekday"/>
    <x v="0"/>
    <s v="Clear"/>
  </r>
  <r>
    <n v="303"/>
    <d v="2011-01-14T00:00:00"/>
    <n v="1"/>
    <n v="0"/>
    <n v="1"/>
    <n v="1"/>
    <b v="0"/>
    <n v="5"/>
    <n v="1"/>
    <n v="0.1"/>
    <s v="Weekday"/>
    <x v="0"/>
    <s v="Clear"/>
  </r>
  <r>
    <n v="304"/>
    <d v="2011-01-14T00:00:00"/>
    <n v="1"/>
    <n v="0"/>
    <n v="1"/>
    <n v="2"/>
    <b v="0"/>
    <n v="5"/>
    <n v="1"/>
    <n v="0.1"/>
    <s v="Weekday"/>
    <x v="0"/>
    <s v="Clear"/>
  </r>
  <r>
    <n v="305"/>
    <d v="2011-01-14T00:00:00"/>
    <n v="1"/>
    <n v="0"/>
    <n v="1"/>
    <n v="3"/>
    <b v="0"/>
    <n v="5"/>
    <n v="1"/>
    <n v="0.1"/>
    <s v="Weekday"/>
    <x v="0"/>
    <s v="Clear"/>
  </r>
  <r>
    <n v="306"/>
    <d v="2011-01-14T00:00:00"/>
    <n v="1"/>
    <n v="0"/>
    <n v="1"/>
    <n v="5"/>
    <b v="0"/>
    <n v="5"/>
    <n v="1"/>
    <n v="0.1"/>
    <s v="Weekday"/>
    <x v="0"/>
    <s v="Clear"/>
  </r>
  <r>
    <n v="307"/>
    <d v="2011-01-14T00:00:00"/>
    <n v="1"/>
    <n v="0"/>
    <n v="1"/>
    <n v="6"/>
    <b v="0"/>
    <n v="5"/>
    <n v="1"/>
    <n v="0.1"/>
    <s v="Weekday"/>
    <x v="0"/>
    <s v="Clear"/>
  </r>
  <r>
    <n v="308"/>
    <d v="2011-01-14T00:00:00"/>
    <n v="1"/>
    <n v="0"/>
    <n v="1"/>
    <n v="7"/>
    <b v="0"/>
    <n v="5"/>
    <n v="1"/>
    <n v="0.1"/>
    <s v="Weekday"/>
    <x v="0"/>
    <s v="Clear"/>
  </r>
  <r>
    <n v="309"/>
    <d v="2011-01-14T00:00:00"/>
    <n v="1"/>
    <n v="0"/>
    <n v="1"/>
    <n v="8"/>
    <b v="0"/>
    <n v="5"/>
    <n v="1"/>
    <n v="0.12"/>
    <s v="Weekday"/>
    <x v="0"/>
    <s v="Clear"/>
  </r>
  <r>
    <n v="310"/>
    <d v="2011-01-14T00:00:00"/>
    <n v="1"/>
    <n v="0"/>
    <n v="1"/>
    <n v="9"/>
    <b v="0"/>
    <n v="5"/>
    <n v="1"/>
    <n v="0.14000000000000001"/>
    <s v="Weekday"/>
    <x v="0"/>
    <s v="Clear"/>
  </r>
  <r>
    <n v="311"/>
    <d v="2011-01-14T00:00:00"/>
    <n v="1"/>
    <n v="0"/>
    <n v="1"/>
    <n v="10"/>
    <b v="0"/>
    <n v="5"/>
    <n v="1"/>
    <n v="0.18"/>
    <s v="Weekday"/>
    <x v="0"/>
    <s v="Clear"/>
  </r>
  <r>
    <n v="312"/>
    <d v="2011-01-14T00:00:00"/>
    <n v="1"/>
    <n v="0"/>
    <n v="1"/>
    <n v="11"/>
    <b v="0"/>
    <n v="5"/>
    <n v="1"/>
    <n v="0.18"/>
    <s v="Weekday"/>
    <x v="0"/>
    <s v="Clear"/>
  </r>
  <r>
    <n v="313"/>
    <d v="2011-01-14T00:00:00"/>
    <n v="1"/>
    <n v="0"/>
    <n v="1"/>
    <n v="12"/>
    <b v="0"/>
    <n v="5"/>
    <n v="1"/>
    <n v="0.2"/>
    <s v="Weekday"/>
    <x v="1"/>
    <s v="Clear"/>
  </r>
  <r>
    <n v="314"/>
    <d v="2011-01-14T00:00:00"/>
    <n v="1"/>
    <n v="0"/>
    <n v="1"/>
    <n v="13"/>
    <b v="0"/>
    <n v="5"/>
    <n v="1"/>
    <n v="0.22"/>
    <s v="Weekday"/>
    <x v="1"/>
    <s v="Clear"/>
  </r>
  <r>
    <n v="315"/>
    <d v="2011-01-14T00:00:00"/>
    <n v="1"/>
    <n v="0"/>
    <n v="1"/>
    <n v="14"/>
    <b v="0"/>
    <n v="5"/>
    <n v="1"/>
    <n v="0.22"/>
    <s v="Weekday"/>
    <x v="1"/>
    <s v="Clear"/>
  </r>
  <r>
    <n v="316"/>
    <d v="2011-01-14T00:00:00"/>
    <n v="1"/>
    <n v="0"/>
    <n v="1"/>
    <n v="15"/>
    <b v="0"/>
    <n v="5"/>
    <n v="1"/>
    <n v="0.24"/>
    <s v="Weekday"/>
    <x v="1"/>
    <s v="Clear"/>
  </r>
  <r>
    <n v="317"/>
    <d v="2011-01-14T00:00:00"/>
    <n v="1"/>
    <n v="0"/>
    <n v="1"/>
    <n v="16"/>
    <b v="0"/>
    <n v="5"/>
    <n v="1"/>
    <n v="0.22"/>
    <s v="Weekday"/>
    <x v="1"/>
    <s v="Clear"/>
  </r>
  <r>
    <n v="318"/>
    <d v="2011-01-14T00:00:00"/>
    <n v="1"/>
    <n v="0"/>
    <n v="1"/>
    <n v="17"/>
    <b v="0"/>
    <n v="5"/>
    <n v="1"/>
    <n v="0.22"/>
    <s v="Weekday"/>
    <x v="1"/>
    <s v="Clear"/>
  </r>
  <r>
    <n v="319"/>
    <d v="2011-01-14T00:00:00"/>
    <n v="1"/>
    <n v="0"/>
    <n v="1"/>
    <n v="18"/>
    <b v="0"/>
    <n v="5"/>
    <n v="1"/>
    <n v="0.2"/>
    <s v="Weekday"/>
    <x v="2"/>
    <s v="Clear"/>
  </r>
  <r>
    <n v="320"/>
    <d v="2011-01-14T00:00:00"/>
    <n v="1"/>
    <n v="0"/>
    <n v="1"/>
    <n v="19"/>
    <b v="0"/>
    <n v="5"/>
    <n v="1"/>
    <n v="0.16"/>
    <s v="Weekday"/>
    <x v="2"/>
    <s v="Clear"/>
  </r>
  <r>
    <n v="321"/>
    <d v="2011-01-14T00:00:00"/>
    <n v="1"/>
    <n v="0"/>
    <n v="1"/>
    <n v="20"/>
    <b v="0"/>
    <n v="5"/>
    <n v="1"/>
    <n v="0.18"/>
    <s v="Weekday"/>
    <x v="2"/>
    <s v="Clear"/>
  </r>
  <r>
    <n v="322"/>
    <d v="2011-01-14T00:00:00"/>
    <n v="1"/>
    <n v="0"/>
    <n v="1"/>
    <n v="21"/>
    <b v="0"/>
    <n v="5"/>
    <n v="1"/>
    <n v="0.16"/>
    <s v="Weekday"/>
    <x v="2"/>
    <s v="Clear"/>
  </r>
  <r>
    <n v="323"/>
    <d v="2011-01-14T00:00:00"/>
    <n v="1"/>
    <n v="0"/>
    <n v="1"/>
    <n v="22"/>
    <b v="0"/>
    <n v="5"/>
    <n v="2"/>
    <n v="0.16"/>
    <s v="Weekday"/>
    <x v="2"/>
    <s v="cloudy"/>
  </r>
  <r>
    <n v="324"/>
    <d v="2011-01-14T00:00:00"/>
    <n v="1"/>
    <n v="0"/>
    <n v="1"/>
    <n v="23"/>
    <b v="0"/>
    <n v="5"/>
    <n v="2"/>
    <n v="0.18"/>
    <s v="Weekday"/>
    <x v="2"/>
    <s v="cloudy"/>
  </r>
  <r>
    <n v="325"/>
    <d v="2011-01-15T00:00:00"/>
    <n v="1"/>
    <n v="0"/>
    <n v="1"/>
    <n v="0"/>
    <b v="0"/>
    <n v="6"/>
    <n v="1"/>
    <n v="0.18"/>
    <s v="Weekend"/>
    <x v="0"/>
    <s v="Clear"/>
  </r>
  <r>
    <n v="326"/>
    <d v="2011-01-15T00:00:00"/>
    <n v="1"/>
    <n v="0"/>
    <n v="1"/>
    <n v="1"/>
    <b v="0"/>
    <n v="6"/>
    <n v="2"/>
    <n v="0.16"/>
    <s v="Weekend"/>
    <x v="0"/>
    <s v="cloudy"/>
  </r>
  <r>
    <n v="327"/>
    <d v="2011-01-15T00:00:00"/>
    <n v="1"/>
    <n v="0"/>
    <n v="1"/>
    <n v="2"/>
    <b v="0"/>
    <n v="6"/>
    <n v="2"/>
    <n v="0.16"/>
    <s v="Weekend"/>
    <x v="0"/>
    <s v="cloudy"/>
  </r>
  <r>
    <n v="328"/>
    <d v="2011-01-15T00:00:00"/>
    <n v="1"/>
    <n v="0"/>
    <n v="1"/>
    <n v="3"/>
    <b v="0"/>
    <n v="6"/>
    <n v="2"/>
    <n v="0.16"/>
    <s v="Weekend"/>
    <x v="0"/>
    <s v="cloudy"/>
  </r>
  <r>
    <n v="329"/>
    <d v="2011-01-15T00:00:00"/>
    <n v="1"/>
    <n v="0"/>
    <n v="1"/>
    <n v="4"/>
    <b v="0"/>
    <n v="6"/>
    <n v="2"/>
    <n v="0.16"/>
    <s v="Weekend"/>
    <x v="0"/>
    <s v="cloudy"/>
  </r>
  <r>
    <n v="330"/>
    <d v="2011-01-15T00:00:00"/>
    <n v="1"/>
    <n v="0"/>
    <n v="1"/>
    <n v="5"/>
    <b v="0"/>
    <n v="6"/>
    <n v="1"/>
    <n v="0.16"/>
    <s v="Weekend"/>
    <x v="0"/>
    <s v="Clear"/>
  </r>
  <r>
    <n v="331"/>
    <d v="2011-01-15T00:00:00"/>
    <n v="1"/>
    <n v="0"/>
    <n v="1"/>
    <n v="6"/>
    <b v="0"/>
    <n v="6"/>
    <n v="1"/>
    <n v="0.14000000000000001"/>
    <s v="Weekend"/>
    <x v="0"/>
    <s v="Clear"/>
  </r>
  <r>
    <n v="332"/>
    <d v="2011-01-15T00:00:00"/>
    <n v="1"/>
    <n v="0"/>
    <n v="1"/>
    <n v="7"/>
    <b v="0"/>
    <n v="6"/>
    <n v="1"/>
    <n v="0.14000000000000001"/>
    <s v="Weekend"/>
    <x v="0"/>
    <s v="Clear"/>
  </r>
  <r>
    <n v="333"/>
    <d v="2011-01-15T00:00:00"/>
    <n v="1"/>
    <n v="0"/>
    <n v="1"/>
    <n v="8"/>
    <b v="0"/>
    <n v="6"/>
    <n v="1"/>
    <n v="0.14000000000000001"/>
    <s v="Weekend"/>
    <x v="0"/>
    <s v="Clear"/>
  </r>
  <r>
    <n v="334"/>
    <d v="2011-01-15T00:00:00"/>
    <n v="1"/>
    <n v="0"/>
    <n v="1"/>
    <n v="9"/>
    <b v="0"/>
    <n v="6"/>
    <n v="1"/>
    <n v="0.16"/>
    <s v="Weekend"/>
    <x v="0"/>
    <s v="Clear"/>
  </r>
  <r>
    <n v="335"/>
    <d v="2011-01-15T00:00:00"/>
    <n v="1"/>
    <n v="0"/>
    <n v="1"/>
    <n v="10"/>
    <b v="0"/>
    <n v="6"/>
    <n v="1"/>
    <n v="0.18"/>
    <s v="Weekend"/>
    <x v="0"/>
    <s v="Clear"/>
  </r>
  <r>
    <n v="336"/>
    <d v="2011-01-15T00:00:00"/>
    <n v="1"/>
    <n v="0"/>
    <n v="1"/>
    <n v="11"/>
    <b v="0"/>
    <n v="6"/>
    <n v="1"/>
    <n v="0.2"/>
    <s v="Weekend"/>
    <x v="0"/>
    <s v="Clear"/>
  </r>
  <r>
    <n v="337"/>
    <d v="2011-01-15T00:00:00"/>
    <n v="1"/>
    <n v="0"/>
    <n v="1"/>
    <n v="12"/>
    <b v="0"/>
    <n v="6"/>
    <n v="1"/>
    <n v="0.24"/>
    <s v="Weekend"/>
    <x v="1"/>
    <s v="Clear"/>
  </r>
  <r>
    <n v="338"/>
    <d v="2011-01-15T00:00:00"/>
    <n v="1"/>
    <n v="0"/>
    <n v="1"/>
    <n v="13"/>
    <b v="0"/>
    <n v="6"/>
    <n v="1"/>
    <n v="0.28000000000000003"/>
    <s v="Weekend"/>
    <x v="1"/>
    <s v="Clear"/>
  </r>
  <r>
    <n v="339"/>
    <d v="2011-01-15T00:00:00"/>
    <n v="1"/>
    <n v="0"/>
    <n v="1"/>
    <n v="14"/>
    <b v="0"/>
    <n v="6"/>
    <n v="1"/>
    <n v="0.3"/>
    <s v="Weekend"/>
    <x v="1"/>
    <s v="Clear"/>
  </r>
  <r>
    <n v="340"/>
    <d v="2011-01-15T00:00:00"/>
    <n v="1"/>
    <n v="0"/>
    <n v="1"/>
    <n v="15"/>
    <b v="0"/>
    <n v="6"/>
    <n v="2"/>
    <n v="0.32"/>
    <s v="Weekend"/>
    <x v="1"/>
    <s v="cloudy"/>
  </r>
  <r>
    <n v="341"/>
    <d v="2011-01-15T00:00:00"/>
    <n v="1"/>
    <n v="0"/>
    <n v="1"/>
    <n v="16"/>
    <b v="0"/>
    <n v="6"/>
    <n v="2"/>
    <n v="0.34"/>
    <s v="Weekend"/>
    <x v="1"/>
    <s v="cloudy"/>
  </r>
  <r>
    <n v="342"/>
    <d v="2011-01-15T00:00:00"/>
    <n v="1"/>
    <n v="0"/>
    <n v="1"/>
    <n v="17"/>
    <b v="0"/>
    <n v="6"/>
    <n v="2"/>
    <n v="0.32"/>
    <s v="Weekend"/>
    <x v="1"/>
    <s v="cloudy"/>
  </r>
  <r>
    <n v="343"/>
    <d v="2011-01-15T00:00:00"/>
    <n v="1"/>
    <n v="0"/>
    <n v="1"/>
    <n v="18"/>
    <b v="0"/>
    <n v="6"/>
    <n v="2"/>
    <n v="0.3"/>
    <s v="Weekend"/>
    <x v="2"/>
    <s v="cloudy"/>
  </r>
  <r>
    <n v="344"/>
    <d v="2011-01-15T00:00:00"/>
    <n v="1"/>
    <n v="0"/>
    <n v="1"/>
    <n v="19"/>
    <b v="0"/>
    <n v="6"/>
    <n v="2"/>
    <n v="0.32"/>
    <s v="Weekend"/>
    <x v="2"/>
    <s v="cloudy"/>
  </r>
  <r>
    <n v="345"/>
    <d v="2011-01-15T00:00:00"/>
    <n v="1"/>
    <n v="0"/>
    <n v="1"/>
    <n v="20"/>
    <b v="0"/>
    <n v="6"/>
    <n v="2"/>
    <n v="0.32"/>
    <s v="Weekend"/>
    <x v="2"/>
    <s v="cloudy"/>
  </r>
  <r>
    <n v="346"/>
    <d v="2011-01-15T00:00:00"/>
    <n v="1"/>
    <n v="0"/>
    <n v="1"/>
    <n v="21"/>
    <b v="0"/>
    <n v="6"/>
    <n v="2"/>
    <n v="0.32"/>
    <s v="Weekend"/>
    <x v="2"/>
    <s v="cloudy"/>
  </r>
  <r>
    <n v="347"/>
    <d v="2011-01-15T00:00:00"/>
    <n v="1"/>
    <n v="0"/>
    <n v="1"/>
    <n v="22"/>
    <b v="0"/>
    <n v="6"/>
    <n v="2"/>
    <n v="0.3"/>
    <s v="Weekend"/>
    <x v="2"/>
    <s v="cloudy"/>
  </r>
  <r>
    <n v="348"/>
    <d v="2011-01-15T00:00:00"/>
    <n v="1"/>
    <n v="0"/>
    <n v="1"/>
    <n v="23"/>
    <b v="0"/>
    <n v="6"/>
    <n v="1"/>
    <n v="0.3"/>
    <s v="Weekend"/>
    <x v="2"/>
    <s v="Clear"/>
  </r>
  <r>
    <n v="349"/>
    <d v="2011-01-16T00:00:00"/>
    <n v="1"/>
    <n v="0"/>
    <n v="1"/>
    <n v="0"/>
    <b v="0"/>
    <n v="0"/>
    <n v="1"/>
    <n v="0.26"/>
    <s v="Weekend"/>
    <x v="0"/>
    <s v="Clear"/>
  </r>
  <r>
    <n v="350"/>
    <d v="2011-01-16T00:00:00"/>
    <n v="1"/>
    <n v="0"/>
    <n v="1"/>
    <n v="1"/>
    <b v="0"/>
    <n v="0"/>
    <n v="1"/>
    <n v="0.26"/>
    <s v="Weekend"/>
    <x v="0"/>
    <s v="Clear"/>
  </r>
  <r>
    <n v="351"/>
    <d v="2011-01-16T00:00:00"/>
    <n v="1"/>
    <n v="0"/>
    <n v="1"/>
    <n v="2"/>
    <b v="0"/>
    <n v="0"/>
    <n v="1"/>
    <n v="0.26"/>
    <s v="Weekend"/>
    <x v="0"/>
    <s v="Clear"/>
  </r>
  <r>
    <n v="352"/>
    <d v="2011-01-16T00:00:00"/>
    <n v="1"/>
    <n v="0"/>
    <n v="1"/>
    <n v="3"/>
    <b v="0"/>
    <n v="0"/>
    <n v="1"/>
    <n v="0.22"/>
    <s v="Weekend"/>
    <x v="0"/>
    <s v="Clear"/>
  </r>
  <r>
    <n v="353"/>
    <d v="2011-01-16T00:00:00"/>
    <n v="1"/>
    <n v="0"/>
    <n v="1"/>
    <n v="4"/>
    <b v="0"/>
    <n v="0"/>
    <n v="1"/>
    <n v="0.26"/>
    <s v="Weekend"/>
    <x v="0"/>
    <s v="Clear"/>
  </r>
  <r>
    <n v="354"/>
    <d v="2011-01-16T00:00:00"/>
    <n v="1"/>
    <n v="0"/>
    <n v="1"/>
    <n v="5"/>
    <b v="0"/>
    <n v="0"/>
    <n v="2"/>
    <n v="0.26"/>
    <s v="Weekend"/>
    <x v="0"/>
    <s v="cloudy"/>
  </r>
  <r>
    <n v="355"/>
    <d v="2011-01-16T00:00:00"/>
    <n v="1"/>
    <n v="0"/>
    <n v="1"/>
    <n v="6"/>
    <b v="0"/>
    <n v="0"/>
    <n v="2"/>
    <n v="0.26"/>
    <s v="Weekend"/>
    <x v="0"/>
    <s v="cloudy"/>
  </r>
  <r>
    <n v="356"/>
    <d v="2011-01-16T00:00:00"/>
    <n v="1"/>
    <n v="0"/>
    <n v="1"/>
    <n v="7"/>
    <b v="0"/>
    <n v="0"/>
    <n v="2"/>
    <n v="0.24"/>
    <s v="Weekend"/>
    <x v="0"/>
    <s v="cloudy"/>
  </r>
  <r>
    <n v="357"/>
    <d v="2011-01-16T00:00:00"/>
    <n v="1"/>
    <n v="0"/>
    <n v="1"/>
    <n v="8"/>
    <b v="0"/>
    <n v="0"/>
    <n v="1"/>
    <n v="0.22"/>
    <s v="Weekend"/>
    <x v="0"/>
    <s v="Clear"/>
  </r>
  <r>
    <n v="358"/>
    <d v="2011-01-16T00:00:00"/>
    <n v="1"/>
    <n v="0"/>
    <n v="1"/>
    <n v="9"/>
    <b v="0"/>
    <n v="0"/>
    <n v="1"/>
    <n v="0.22"/>
    <s v="Weekend"/>
    <x v="0"/>
    <s v="Clear"/>
  </r>
  <r>
    <n v="359"/>
    <d v="2011-01-16T00:00:00"/>
    <n v="1"/>
    <n v="0"/>
    <n v="1"/>
    <n v="10"/>
    <b v="0"/>
    <n v="0"/>
    <n v="1"/>
    <n v="0.22"/>
    <s v="Weekend"/>
    <x v="0"/>
    <s v="Clear"/>
  </r>
  <r>
    <n v="360"/>
    <d v="2011-01-16T00:00:00"/>
    <n v="1"/>
    <n v="0"/>
    <n v="1"/>
    <n v="11"/>
    <b v="0"/>
    <n v="0"/>
    <n v="1"/>
    <n v="0.24"/>
    <s v="Weekend"/>
    <x v="0"/>
    <s v="Clear"/>
  </r>
  <r>
    <n v="361"/>
    <d v="2011-01-16T00:00:00"/>
    <n v="1"/>
    <n v="0"/>
    <n v="1"/>
    <n v="12"/>
    <b v="0"/>
    <n v="0"/>
    <n v="1"/>
    <n v="0.24"/>
    <s v="Weekend"/>
    <x v="1"/>
    <s v="Clear"/>
  </r>
  <r>
    <n v="362"/>
    <d v="2011-01-16T00:00:00"/>
    <n v="1"/>
    <n v="0"/>
    <n v="1"/>
    <n v="13"/>
    <b v="0"/>
    <n v="0"/>
    <n v="1"/>
    <n v="0.26"/>
    <s v="Weekend"/>
    <x v="1"/>
    <s v="Clear"/>
  </r>
  <r>
    <n v="363"/>
    <d v="2011-01-16T00:00:00"/>
    <n v="1"/>
    <n v="0"/>
    <n v="1"/>
    <n v="14"/>
    <b v="0"/>
    <n v="0"/>
    <n v="1"/>
    <n v="0.28000000000000003"/>
    <s v="Weekend"/>
    <x v="1"/>
    <s v="Clear"/>
  </r>
  <r>
    <n v="364"/>
    <d v="2011-01-16T00:00:00"/>
    <n v="1"/>
    <n v="0"/>
    <n v="1"/>
    <n v="15"/>
    <b v="0"/>
    <n v="0"/>
    <n v="1"/>
    <n v="0.26"/>
    <s v="Weekend"/>
    <x v="1"/>
    <s v="Clear"/>
  </r>
  <r>
    <n v="365"/>
    <d v="2011-01-16T00:00:00"/>
    <n v="1"/>
    <n v="0"/>
    <n v="1"/>
    <n v="16"/>
    <b v="0"/>
    <n v="0"/>
    <n v="1"/>
    <n v="0.24"/>
    <s v="Weekend"/>
    <x v="1"/>
    <s v="Clear"/>
  </r>
  <r>
    <n v="366"/>
    <d v="2011-01-16T00:00:00"/>
    <n v="1"/>
    <n v="0"/>
    <n v="1"/>
    <n v="17"/>
    <b v="0"/>
    <n v="0"/>
    <n v="1"/>
    <n v="0.22"/>
    <s v="Weekend"/>
    <x v="1"/>
    <s v="Clear"/>
  </r>
  <r>
    <n v="367"/>
    <d v="2011-01-16T00:00:00"/>
    <n v="1"/>
    <n v="0"/>
    <n v="1"/>
    <n v="18"/>
    <b v="0"/>
    <n v="0"/>
    <n v="1"/>
    <n v="0.2"/>
    <s v="Weekend"/>
    <x v="2"/>
    <s v="Clear"/>
  </r>
  <r>
    <n v="368"/>
    <d v="2011-01-16T00:00:00"/>
    <n v="1"/>
    <n v="0"/>
    <n v="1"/>
    <n v="19"/>
    <b v="0"/>
    <n v="0"/>
    <n v="1"/>
    <n v="0.18"/>
    <s v="Weekend"/>
    <x v="2"/>
    <s v="Clear"/>
  </r>
  <r>
    <n v="369"/>
    <d v="2011-01-16T00:00:00"/>
    <n v="1"/>
    <n v="0"/>
    <n v="1"/>
    <n v="20"/>
    <b v="0"/>
    <n v="0"/>
    <n v="1"/>
    <n v="0.18"/>
    <s v="Weekend"/>
    <x v="2"/>
    <s v="Clear"/>
  </r>
  <r>
    <n v="370"/>
    <d v="2011-01-16T00:00:00"/>
    <n v="1"/>
    <n v="0"/>
    <n v="1"/>
    <n v="21"/>
    <b v="0"/>
    <n v="0"/>
    <n v="1"/>
    <n v="0.18"/>
    <s v="Weekend"/>
    <x v="2"/>
    <s v="Clear"/>
  </r>
  <r>
    <n v="371"/>
    <d v="2011-01-16T00:00:00"/>
    <n v="1"/>
    <n v="0"/>
    <n v="1"/>
    <n v="22"/>
    <b v="0"/>
    <n v="0"/>
    <n v="2"/>
    <n v="0.2"/>
    <s v="Weekend"/>
    <x v="2"/>
    <s v="cloudy"/>
  </r>
  <r>
    <n v="372"/>
    <d v="2011-01-16T00:00:00"/>
    <n v="1"/>
    <n v="0"/>
    <n v="1"/>
    <n v="23"/>
    <b v="0"/>
    <n v="0"/>
    <n v="2"/>
    <n v="0.2"/>
    <s v="Weekend"/>
    <x v="2"/>
    <s v="cloudy"/>
  </r>
  <r>
    <n v="373"/>
    <d v="2011-01-17T00:00:00"/>
    <n v="1"/>
    <n v="0"/>
    <n v="1"/>
    <n v="0"/>
    <b v="1"/>
    <n v="1"/>
    <n v="2"/>
    <n v="0.2"/>
    <s v="Weekday"/>
    <x v="0"/>
    <s v="cloudy"/>
  </r>
  <r>
    <n v="374"/>
    <d v="2011-01-17T00:00:00"/>
    <n v="1"/>
    <n v="0"/>
    <n v="1"/>
    <n v="1"/>
    <b v="1"/>
    <n v="1"/>
    <n v="2"/>
    <n v="0.2"/>
    <s v="Weekday"/>
    <x v="0"/>
    <s v="cloudy"/>
  </r>
  <r>
    <n v="375"/>
    <d v="2011-01-17T00:00:00"/>
    <n v="1"/>
    <n v="0"/>
    <n v="1"/>
    <n v="2"/>
    <b v="1"/>
    <n v="1"/>
    <n v="2"/>
    <n v="0.18"/>
    <s v="Weekday"/>
    <x v="0"/>
    <s v="cloudy"/>
  </r>
  <r>
    <n v="376"/>
    <d v="2011-01-17T00:00:00"/>
    <n v="1"/>
    <n v="0"/>
    <n v="1"/>
    <n v="3"/>
    <b v="1"/>
    <n v="1"/>
    <n v="2"/>
    <n v="0.18"/>
    <s v="Weekday"/>
    <x v="0"/>
    <s v="cloudy"/>
  </r>
  <r>
    <n v="377"/>
    <d v="2011-01-17T00:00:00"/>
    <n v="1"/>
    <n v="0"/>
    <n v="1"/>
    <n v="4"/>
    <b v="1"/>
    <n v="1"/>
    <n v="2"/>
    <n v="0.18"/>
    <s v="Weekday"/>
    <x v="0"/>
    <s v="cloudy"/>
  </r>
  <r>
    <n v="378"/>
    <d v="2011-01-17T00:00:00"/>
    <n v="1"/>
    <n v="0"/>
    <n v="1"/>
    <n v="5"/>
    <b v="1"/>
    <n v="1"/>
    <n v="2"/>
    <n v="0.18"/>
    <s v="Weekday"/>
    <x v="0"/>
    <s v="cloudy"/>
  </r>
  <r>
    <n v="379"/>
    <d v="2011-01-17T00:00:00"/>
    <n v="1"/>
    <n v="0"/>
    <n v="1"/>
    <n v="6"/>
    <b v="1"/>
    <n v="1"/>
    <n v="2"/>
    <n v="0.18"/>
    <s v="Weekday"/>
    <x v="0"/>
    <s v="cloudy"/>
  </r>
  <r>
    <n v="380"/>
    <d v="2011-01-17T00:00:00"/>
    <n v="1"/>
    <n v="0"/>
    <n v="1"/>
    <n v="7"/>
    <b v="1"/>
    <n v="1"/>
    <n v="2"/>
    <n v="0.16"/>
    <s v="Weekday"/>
    <x v="0"/>
    <s v="cloudy"/>
  </r>
  <r>
    <n v="381"/>
    <d v="2011-01-17T00:00:00"/>
    <n v="1"/>
    <n v="0"/>
    <n v="1"/>
    <n v="8"/>
    <b v="1"/>
    <n v="1"/>
    <n v="2"/>
    <n v="0.16"/>
    <s v="Weekday"/>
    <x v="0"/>
    <s v="cloudy"/>
  </r>
  <r>
    <n v="382"/>
    <d v="2011-01-17T00:00:00"/>
    <n v="1"/>
    <n v="0"/>
    <n v="1"/>
    <n v="9"/>
    <b v="1"/>
    <n v="1"/>
    <n v="2"/>
    <n v="0.16"/>
    <s v="Weekday"/>
    <x v="0"/>
    <s v="cloudy"/>
  </r>
  <r>
    <n v="383"/>
    <d v="2011-01-17T00:00:00"/>
    <n v="1"/>
    <n v="0"/>
    <n v="1"/>
    <n v="10"/>
    <b v="1"/>
    <n v="1"/>
    <n v="2"/>
    <n v="0.16"/>
    <s v="Weekday"/>
    <x v="0"/>
    <s v="cloudy"/>
  </r>
  <r>
    <n v="384"/>
    <d v="2011-01-17T00:00:00"/>
    <n v="1"/>
    <n v="0"/>
    <n v="1"/>
    <n v="11"/>
    <b v="1"/>
    <n v="1"/>
    <n v="2"/>
    <n v="0.16"/>
    <s v="Weekday"/>
    <x v="0"/>
    <s v="cloudy"/>
  </r>
  <r>
    <n v="385"/>
    <d v="2011-01-17T00:00:00"/>
    <n v="1"/>
    <n v="0"/>
    <n v="1"/>
    <n v="12"/>
    <b v="1"/>
    <n v="1"/>
    <n v="2"/>
    <n v="0.18"/>
    <s v="Weekday"/>
    <x v="1"/>
    <s v="cloudy"/>
  </r>
  <r>
    <n v="386"/>
    <d v="2011-01-17T00:00:00"/>
    <n v="1"/>
    <n v="0"/>
    <n v="1"/>
    <n v="13"/>
    <b v="1"/>
    <n v="1"/>
    <n v="2"/>
    <n v="0.18"/>
    <s v="Weekday"/>
    <x v="1"/>
    <s v="cloudy"/>
  </r>
  <r>
    <n v="387"/>
    <d v="2011-01-17T00:00:00"/>
    <n v="1"/>
    <n v="0"/>
    <n v="1"/>
    <n v="14"/>
    <b v="1"/>
    <n v="1"/>
    <n v="2"/>
    <n v="0.18"/>
    <s v="Weekday"/>
    <x v="1"/>
    <s v="cloudy"/>
  </r>
  <r>
    <n v="388"/>
    <d v="2011-01-17T00:00:00"/>
    <n v="1"/>
    <n v="0"/>
    <n v="1"/>
    <n v="15"/>
    <b v="1"/>
    <n v="1"/>
    <n v="2"/>
    <n v="0.2"/>
    <s v="Weekday"/>
    <x v="1"/>
    <s v="cloudy"/>
  </r>
  <r>
    <n v="389"/>
    <d v="2011-01-17T00:00:00"/>
    <n v="1"/>
    <n v="0"/>
    <n v="1"/>
    <n v="16"/>
    <b v="1"/>
    <n v="1"/>
    <n v="2"/>
    <n v="0.2"/>
    <s v="Weekday"/>
    <x v="1"/>
    <s v="cloudy"/>
  </r>
  <r>
    <n v="390"/>
    <d v="2011-01-17T00:00:00"/>
    <n v="1"/>
    <n v="0"/>
    <n v="1"/>
    <n v="17"/>
    <b v="1"/>
    <n v="1"/>
    <n v="1"/>
    <n v="0.2"/>
    <s v="Weekday"/>
    <x v="1"/>
    <s v="Clear"/>
  </r>
  <r>
    <n v="391"/>
    <d v="2011-01-17T00:00:00"/>
    <n v="1"/>
    <n v="0"/>
    <n v="1"/>
    <n v="18"/>
    <b v="1"/>
    <n v="1"/>
    <n v="2"/>
    <n v="0.18"/>
    <s v="Weekday"/>
    <x v="2"/>
    <s v="cloudy"/>
  </r>
  <r>
    <n v="392"/>
    <d v="2011-01-17T00:00:00"/>
    <n v="1"/>
    <n v="0"/>
    <n v="1"/>
    <n v="19"/>
    <b v="1"/>
    <n v="1"/>
    <n v="3"/>
    <n v="0.18"/>
    <s v="Weekday"/>
    <x v="2"/>
    <s v="Rain"/>
  </r>
  <r>
    <n v="393"/>
    <d v="2011-01-17T00:00:00"/>
    <n v="1"/>
    <n v="0"/>
    <n v="1"/>
    <n v="20"/>
    <b v="1"/>
    <n v="1"/>
    <n v="3"/>
    <n v="0.16"/>
    <s v="Weekday"/>
    <x v="2"/>
    <s v="Rain"/>
  </r>
  <r>
    <n v="394"/>
    <d v="2011-01-17T00:00:00"/>
    <n v="1"/>
    <n v="0"/>
    <n v="1"/>
    <n v="21"/>
    <b v="1"/>
    <n v="1"/>
    <n v="3"/>
    <n v="0.16"/>
    <s v="Weekday"/>
    <x v="2"/>
    <s v="Rain"/>
  </r>
  <r>
    <n v="395"/>
    <d v="2011-01-17T00:00:00"/>
    <n v="1"/>
    <n v="0"/>
    <n v="1"/>
    <n v="22"/>
    <b v="1"/>
    <n v="1"/>
    <n v="3"/>
    <n v="0.14000000000000001"/>
    <s v="Weekday"/>
    <x v="2"/>
    <s v="Rain"/>
  </r>
  <r>
    <n v="396"/>
    <d v="2011-01-17T00:00:00"/>
    <n v="1"/>
    <n v="0"/>
    <n v="1"/>
    <n v="23"/>
    <b v="1"/>
    <n v="1"/>
    <n v="3"/>
    <n v="0.16"/>
    <s v="Weekday"/>
    <x v="2"/>
    <s v="Rain"/>
  </r>
  <r>
    <n v="397"/>
    <d v="2011-01-18T00:00:00"/>
    <n v="1"/>
    <n v="0"/>
    <n v="1"/>
    <n v="12"/>
    <b v="0"/>
    <n v="2"/>
    <n v="2"/>
    <n v="0.2"/>
    <s v="Weekday"/>
    <x v="1"/>
    <s v="cloudy"/>
  </r>
  <r>
    <n v="398"/>
    <d v="2011-01-18T00:00:00"/>
    <n v="1"/>
    <n v="0"/>
    <n v="1"/>
    <n v="13"/>
    <b v="0"/>
    <n v="2"/>
    <n v="2"/>
    <n v="0.2"/>
    <s v="Weekday"/>
    <x v="1"/>
    <s v="cloudy"/>
  </r>
  <r>
    <n v="399"/>
    <d v="2011-01-18T00:00:00"/>
    <n v="1"/>
    <n v="0"/>
    <n v="1"/>
    <n v="14"/>
    <b v="0"/>
    <n v="2"/>
    <n v="2"/>
    <n v="0.22"/>
    <s v="Weekday"/>
    <x v="1"/>
    <s v="cloudy"/>
  </r>
  <r>
    <n v="400"/>
    <d v="2011-01-18T00:00:00"/>
    <n v="1"/>
    <n v="0"/>
    <n v="1"/>
    <n v="15"/>
    <b v="0"/>
    <n v="2"/>
    <n v="2"/>
    <n v="0.22"/>
    <s v="Weekday"/>
    <x v="1"/>
    <s v="cloudy"/>
  </r>
  <r>
    <n v="401"/>
    <d v="2011-01-18T00:00:00"/>
    <n v="1"/>
    <n v="0"/>
    <n v="1"/>
    <n v="16"/>
    <b v="0"/>
    <n v="2"/>
    <n v="2"/>
    <n v="0.22"/>
    <s v="Weekday"/>
    <x v="1"/>
    <s v="cloudy"/>
  </r>
  <r>
    <n v="402"/>
    <d v="2011-01-18T00:00:00"/>
    <n v="1"/>
    <n v="0"/>
    <n v="1"/>
    <n v="17"/>
    <b v="0"/>
    <n v="2"/>
    <n v="2"/>
    <n v="0.22"/>
    <s v="Weekday"/>
    <x v="1"/>
    <s v="cloudy"/>
  </r>
  <r>
    <n v="403"/>
    <d v="2011-01-18T00:00:00"/>
    <n v="1"/>
    <n v="0"/>
    <n v="1"/>
    <n v="18"/>
    <b v="0"/>
    <n v="2"/>
    <n v="2"/>
    <n v="0.22"/>
    <s v="Weekday"/>
    <x v="2"/>
    <s v="cloudy"/>
  </r>
  <r>
    <n v="404"/>
    <d v="2011-01-18T00:00:00"/>
    <n v="1"/>
    <n v="0"/>
    <n v="1"/>
    <n v="19"/>
    <b v="0"/>
    <n v="2"/>
    <n v="2"/>
    <n v="0.22"/>
    <s v="Weekday"/>
    <x v="2"/>
    <s v="cloudy"/>
  </r>
  <r>
    <n v="405"/>
    <d v="2011-01-18T00:00:00"/>
    <n v="1"/>
    <n v="0"/>
    <n v="1"/>
    <n v="20"/>
    <b v="0"/>
    <n v="2"/>
    <n v="2"/>
    <n v="0.22"/>
    <s v="Weekday"/>
    <x v="2"/>
    <s v="cloudy"/>
  </r>
  <r>
    <n v="406"/>
    <d v="2011-01-18T00:00:00"/>
    <n v="1"/>
    <n v="0"/>
    <n v="1"/>
    <n v="21"/>
    <b v="0"/>
    <n v="2"/>
    <n v="2"/>
    <n v="0.22"/>
    <s v="Weekday"/>
    <x v="2"/>
    <s v="cloudy"/>
  </r>
  <r>
    <n v="407"/>
    <d v="2011-01-18T00:00:00"/>
    <n v="1"/>
    <n v="0"/>
    <n v="1"/>
    <n v="22"/>
    <b v="0"/>
    <n v="2"/>
    <n v="2"/>
    <n v="0.22"/>
    <s v="Weekday"/>
    <x v="2"/>
    <s v="cloudy"/>
  </r>
  <r>
    <n v="408"/>
    <d v="2011-01-18T00:00:00"/>
    <n v="1"/>
    <n v="0"/>
    <n v="1"/>
    <n v="23"/>
    <b v="0"/>
    <n v="2"/>
    <n v="2"/>
    <n v="0.22"/>
    <s v="Weekday"/>
    <x v="2"/>
    <s v="cloudy"/>
  </r>
  <r>
    <n v="409"/>
    <d v="2011-01-19T00:00:00"/>
    <n v="1"/>
    <n v="0"/>
    <n v="1"/>
    <n v="0"/>
    <b v="0"/>
    <n v="3"/>
    <n v="2"/>
    <n v="0.22"/>
    <s v="Weekday"/>
    <x v="0"/>
    <s v="cloudy"/>
  </r>
  <r>
    <n v="410"/>
    <d v="2011-01-19T00:00:00"/>
    <n v="1"/>
    <n v="0"/>
    <n v="1"/>
    <n v="1"/>
    <b v="0"/>
    <n v="3"/>
    <n v="3"/>
    <n v="0.22"/>
    <s v="Weekday"/>
    <x v="0"/>
    <s v="Rain"/>
  </r>
  <r>
    <n v="411"/>
    <d v="2011-01-19T00:00:00"/>
    <n v="1"/>
    <n v="0"/>
    <n v="1"/>
    <n v="2"/>
    <b v="0"/>
    <n v="3"/>
    <n v="3"/>
    <n v="0.22"/>
    <s v="Weekday"/>
    <x v="0"/>
    <s v="Rain"/>
  </r>
  <r>
    <n v="412"/>
    <d v="2011-01-19T00:00:00"/>
    <n v="1"/>
    <n v="0"/>
    <n v="1"/>
    <n v="4"/>
    <b v="0"/>
    <n v="3"/>
    <n v="3"/>
    <n v="0.22"/>
    <s v="Weekday"/>
    <x v="0"/>
    <s v="Rain"/>
  </r>
  <r>
    <n v="413"/>
    <d v="2011-01-19T00:00:00"/>
    <n v="1"/>
    <n v="0"/>
    <n v="1"/>
    <n v="5"/>
    <b v="0"/>
    <n v="3"/>
    <n v="2"/>
    <n v="0.22"/>
    <s v="Weekday"/>
    <x v="0"/>
    <s v="cloudy"/>
  </r>
  <r>
    <n v="414"/>
    <d v="2011-01-19T00:00:00"/>
    <n v="1"/>
    <n v="0"/>
    <n v="1"/>
    <n v="6"/>
    <b v="0"/>
    <n v="3"/>
    <n v="2"/>
    <n v="0.22"/>
    <s v="Weekday"/>
    <x v="0"/>
    <s v="cloudy"/>
  </r>
  <r>
    <n v="415"/>
    <d v="2011-01-19T00:00:00"/>
    <n v="1"/>
    <n v="0"/>
    <n v="1"/>
    <n v="7"/>
    <b v="0"/>
    <n v="3"/>
    <n v="2"/>
    <n v="0.24"/>
    <s v="Weekday"/>
    <x v="0"/>
    <s v="cloudy"/>
  </r>
  <r>
    <n v="416"/>
    <d v="2011-01-19T00:00:00"/>
    <n v="1"/>
    <n v="0"/>
    <n v="1"/>
    <n v="8"/>
    <b v="0"/>
    <n v="3"/>
    <n v="2"/>
    <n v="0.24"/>
    <s v="Weekday"/>
    <x v="0"/>
    <s v="cloudy"/>
  </r>
  <r>
    <n v="417"/>
    <d v="2011-01-19T00:00:00"/>
    <n v="1"/>
    <n v="0"/>
    <n v="1"/>
    <n v="9"/>
    <b v="0"/>
    <n v="3"/>
    <n v="2"/>
    <n v="0.24"/>
    <s v="Weekday"/>
    <x v="0"/>
    <s v="cloudy"/>
  </r>
  <r>
    <n v="418"/>
    <d v="2011-01-19T00:00:00"/>
    <n v="1"/>
    <n v="0"/>
    <n v="1"/>
    <n v="10"/>
    <b v="0"/>
    <n v="3"/>
    <n v="2"/>
    <n v="0.26"/>
    <s v="Weekday"/>
    <x v="0"/>
    <s v="cloudy"/>
  </r>
  <r>
    <n v="419"/>
    <d v="2011-01-19T00:00:00"/>
    <n v="1"/>
    <n v="0"/>
    <n v="1"/>
    <n v="11"/>
    <b v="0"/>
    <n v="3"/>
    <n v="2"/>
    <n v="0.28000000000000003"/>
    <s v="Weekday"/>
    <x v="0"/>
    <s v="cloudy"/>
  </r>
  <r>
    <n v="420"/>
    <d v="2011-01-19T00:00:00"/>
    <n v="1"/>
    <n v="0"/>
    <n v="1"/>
    <n v="12"/>
    <b v="0"/>
    <n v="3"/>
    <n v="2"/>
    <n v="0.3"/>
    <s v="Weekday"/>
    <x v="1"/>
    <s v="cloudy"/>
  </r>
  <r>
    <n v="421"/>
    <d v="2011-01-19T00:00:00"/>
    <n v="1"/>
    <n v="0"/>
    <n v="1"/>
    <n v="13"/>
    <b v="0"/>
    <n v="3"/>
    <n v="1"/>
    <n v="0.4"/>
    <s v="Weekday"/>
    <x v="1"/>
    <s v="Clear"/>
  </r>
  <r>
    <n v="422"/>
    <d v="2011-01-19T00:00:00"/>
    <n v="1"/>
    <n v="0"/>
    <n v="1"/>
    <n v="14"/>
    <b v="0"/>
    <n v="3"/>
    <n v="1"/>
    <n v="0.4"/>
    <s v="Weekday"/>
    <x v="1"/>
    <s v="Clear"/>
  </r>
  <r>
    <n v="423"/>
    <d v="2011-01-19T00:00:00"/>
    <n v="1"/>
    <n v="0"/>
    <n v="1"/>
    <n v="15"/>
    <b v="0"/>
    <n v="3"/>
    <n v="1"/>
    <n v="0.4"/>
    <s v="Weekday"/>
    <x v="1"/>
    <s v="Clear"/>
  </r>
  <r>
    <n v="424"/>
    <d v="2011-01-19T00:00:00"/>
    <n v="1"/>
    <n v="0"/>
    <n v="1"/>
    <n v="16"/>
    <b v="0"/>
    <n v="3"/>
    <n v="1"/>
    <n v="0.38"/>
    <s v="Weekday"/>
    <x v="1"/>
    <s v="Clear"/>
  </r>
  <r>
    <n v="425"/>
    <d v="2011-01-19T00:00:00"/>
    <n v="1"/>
    <n v="0"/>
    <n v="1"/>
    <n v="17"/>
    <b v="0"/>
    <n v="3"/>
    <n v="1"/>
    <n v="0.36"/>
    <s v="Weekday"/>
    <x v="1"/>
    <s v="Clear"/>
  </r>
  <r>
    <n v="426"/>
    <d v="2011-01-19T00:00:00"/>
    <n v="1"/>
    <n v="0"/>
    <n v="1"/>
    <n v="18"/>
    <b v="0"/>
    <n v="3"/>
    <n v="1"/>
    <n v="0.34"/>
    <s v="Weekday"/>
    <x v="2"/>
    <s v="Clear"/>
  </r>
  <r>
    <n v="427"/>
    <d v="2011-01-19T00:00:00"/>
    <n v="1"/>
    <n v="0"/>
    <n v="1"/>
    <n v="19"/>
    <b v="0"/>
    <n v="3"/>
    <n v="1"/>
    <n v="0.32"/>
    <s v="Weekday"/>
    <x v="2"/>
    <s v="Clear"/>
  </r>
  <r>
    <n v="428"/>
    <d v="2011-01-19T00:00:00"/>
    <n v="1"/>
    <n v="0"/>
    <n v="1"/>
    <n v="20"/>
    <b v="0"/>
    <n v="3"/>
    <n v="1"/>
    <n v="0.32"/>
    <s v="Weekday"/>
    <x v="2"/>
    <s v="Clear"/>
  </r>
  <r>
    <n v="429"/>
    <d v="2011-01-19T00:00:00"/>
    <n v="1"/>
    <n v="0"/>
    <n v="1"/>
    <n v="21"/>
    <b v="0"/>
    <n v="3"/>
    <n v="1"/>
    <n v="0.32"/>
    <s v="Weekday"/>
    <x v="2"/>
    <s v="Clear"/>
  </r>
  <r>
    <n v="430"/>
    <d v="2011-01-19T00:00:00"/>
    <n v="1"/>
    <n v="0"/>
    <n v="1"/>
    <n v="22"/>
    <b v="0"/>
    <n v="3"/>
    <n v="1"/>
    <n v="0.3"/>
    <s v="Weekday"/>
    <x v="2"/>
    <s v="Clear"/>
  </r>
  <r>
    <n v="431"/>
    <d v="2011-01-19T00:00:00"/>
    <n v="1"/>
    <n v="0"/>
    <n v="1"/>
    <n v="23"/>
    <b v="0"/>
    <n v="3"/>
    <n v="1"/>
    <n v="0.3"/>
    <s v="Weekday"/>
    <x v="2"/>
    <s v="Clear"/>
  </r>
  <r>
    <n v="432"/>
    <d v="2011-01-20T00:00:00"/>
    <n v="1"/>
    <n v="0"/>
    <n v="1"/>
    <n v="0"/>
    <b v="0"/>
    <n v="4"/>
    <n v="1"/>
    <n v="0.26"/>
    <s v="Weekday"/>
    <x v="0"/>
    <s v="Clear"/>
  </r>
  <r>
    <n v="433"/>
    <d v="2011-01-20T00:00:00"/>
    <n v="1"/>
    <n v="0"/>
    <n v="1"/>
    <n v="1"/>
    <b v="0"/>
    <n v="4"/>
    <n v="1"/>
    <n v="0.26"/>
    <s v="Weekday"/>
    <x v="0"/>
    <s v="Clear"/>
  </r>
  <r>
    <n v="434"/>
    <d v="2011-01-20T00:00:00"/>
    <n v="1"/>
    <n v="0"/>
    <n v="1"/>
    <n v="2"/>
    <b v="0"/>
    <n v="4"/>
    <n v="1"/>
    <n v="0.26"/>
    <s v="Weekday"/>
    <x v="0"/>
    <s v="Clear"/>
  </r>
  <r>
    <n v="435"/>
    <d v="2011-01-20T00:00:00"/>
    <n v="1"/>
    <n v="0"/>
    <n v="1"/>
    <n v="3"/>
    <b v="0"/>
    <n v="4"/>
    <n v="1"/>
    <n v="0.26"/>
    <s v="Weekday"/>
    <x v="0"/>
    <s v="Clear"/>
  </r>
  <r>
    <n v="436"/>
    <d v="2011-01-20T00:00:00"/>
    <n v="1"/>
    <n v="0"/>
    <n v="1"/>
    <n v="4"/>
    <b v="0"/>
    <n v="4"/>
    <n v="1"/>
    <n v="0.26"/>
    <s v="Weekday"/>
    <x v="0"/>
    <s v="Clear"/>
  </r>
  <r>
    <n v="437"/>
    <d v="2011-01-20T00:00:00"/>
    <n v="1"/>
    <n v="0"/>
    <n v="1"/>
    <n v="5"/>
    <b v="0"/>
    <n v="4"/>
    <n v="1"/>
    <n v="0.24"/>
    <s v="Weekday"/>
    <x v="0"/>
    <s v="Clear"/>
  </r>
  <r>
    <n v="438"/>
    <d v="2011-01-20T00:00:00"/>
    <n v="1"/>
    <n v="0"/>
    <n v="1"/>
    <n v="6"/>
    <b v="0"/>
    <n v="4"/>
    <n v="1"/>
    <n v="0.22"/>
    <s v="Weekday"/>
    <x v="0"/>
    <s v="Clear"/>
  </r>
  <r>
    <n v="439"/>
    <d v="2011-01-20T00:00:00"/>
    <n v="1"/>
    <n v="0"/>
    <n v="1"/>
    <n v="7"/>
    <b v="0"/>
    <n v="4"/>
    <n v="1"/>
    <n v="0.22"/>
    <s v="Weekday"/>
    <x v="0"/>
    <s v="Clear"/>
  </r>
  <r>
    <n v="440"/>
    <d v="2011-01-20T00:00:00"/>
    <n v="1"/>
    <n v="0"/>
    <n v="1"/>
    <n v="8"/>
    <b v="0"/>
    <n v="4"/>
    <n v="1"/>
    <n v="0.22"/>
    <s v="Weekday"/>
    <x v="0"/>
    <s v="Clear"/>
  </r>
  <r>
    <n v="441"/>
    <d v="2011-01-20T00:00:00"/>
    <n v="1"/>
    <n v="0"/>
    <n v="1"/>
    <n v="9"/>
    <b v="0"/>
    <n v="4"/>
    <n v="2"/>
    <n v="0.24"/>
    <s v="Weekday"/>
    <x v="0"/>
    <s v="cloudy"/>
  </r>
  <r>
    <n v="442"/>
    <d v="2011-01-20T00:00:00"/>
    <n v="1"/>
    <n v="0"/>
    <n v="1"/>
    <n v="10"/>
    <b v="0"/>
    <n v="4"/>
    <n v="1"/>
    <n v="0.26"/>
    <s v="Weekday"/>
    <x v="0"/>
    <s v="Clear"/>
  </r>
  <r>
    <n v="443"/>
    <d v="2011-01-20T00:00:00"/>
    <n v="1"/>
    <n v="0"/>
    <n v="1"/>
    <n v="11"/>
    <b v="0"/>
    <n v="4"/>
    <n v="2"/>
    <n v="0.28000000000000003"/>
    <s v="Weekday"/>
    <x v="0"/>
    <s v="cloudy"/>
  </r>
  <r>
    <n v="444"/>
    <d v="2011-01-20T00:00:00"/>
    <n v="1"/>
    <n v="0"/>
    <n v="1"/>
    <n v="12"/>
    <b v="0"/>
    <n v="4"/>
    <n v="2"/>
    <n v="0.3"/>
    <s v="Weekday"/>
    <x v="1"/>
    <s v="cloudy"/>
  </r>
  <r>
    <n v="445"/>
    <d v="2011-01-20T00:00:00"/>
    <n v="1"/>
    <n v="0"/>
    <n v="1"/>
    <n v="13"/>
    <b v="0"/>
    <n v="4"/>
    <n v="2"/>
    <n v="0.28000000000000003"/>
    <s v="Weekday"/>
    <x v="1"/>
    <s v="cloudy"/>
  </r>
  <r>
    <n v="446"/>
    <d v="2011-01-20T00:00:00"/>
    <n v="1"/>
    <n v="0"/>
    <n v="1"/>
    <n v="14"/>
    <b v="0"/>
    <n v="4"/>
    <n v="2"/>
    <n v="0.3"/>
    <s v="Weekday"/>
    <x v="1"/>
    <s v="cloudy"/>
  </r>
  <r>
    <n v="447"/>
    <d v="2011-01-20T00:00:00"/>
    <n v="1"/>
    <n v="0"/>
    <n v="1"/>
    <n v="15"/>
    <b v="0"/>
    <n v="4"/>
    <n v="2"/>
    <n v="0.32"/>
    <s v="Weekday"/>
    <x v="1"/>
    <s v="cloudy"/>
  </r>
  <r>
    <n v="448"/>
    <d v="2011-01-20T00:00:00"/>
    <n v="1"/>
    <n v="0"/>
    <n v="1"/>
    <n v="16"/>
    <b v="0"/>
    <n v="4"/>
    <n v="2"/>
    <n v="0.3"/>
    <s v="Weekday"/>
    <x v="1"/>
    <s v="cloudy"/>
  </r>
  <r>
    <n v="449"/>
    <d v="2011-01-20T00:00:00"/>
    <n v="1"/>
    <n v="0"/>
    <n v="1"/>
    <n v="17"/>
    <b v="0"/>
    <n v="4"/>
    <n v="2"/>
    <n v="0.3"/>
    <s v="Weekday"/>
    <x v="1"/>
    <s v="cloudy"/>
  </r>
  <r>
    <n v="450"/>
    <d v="2011-01-20T00:00:00"/>
    <n v="1"/>
    <n v="0"/>
    <n v="1"/>
    <n v="18"/>
    <b v="0"/>
    <n v="4"/>
    <n v="2"/>
    <n v="0.26"/>
    <s v="Weekday"/>
    <x v="2"/>
    <s v="cloudy"/>
  </r>
  <r>
    <n v="451"/>
    <d v="2011-01-20T00:00:00"/>
    <n v="1"/>
    <n v="0"/>
    <n v="1"/>
    <n v="19"/>
    <b v="0"/>
    <n v="4"/>
    <n v="1"/>
    <n v="0.26"/>
    <s v="Weekday"/>
    <x v="2"/>
    <s v="Clear"/>
  </r>
  <r>
    <n v="452"/>
    <d v="2011-01-20T00:00:00"/>
    <n v="1"/>
    <n v="0"/>
    <n v="1"/>
    <n v="20"/>
    <b v="0"/>
    <n v="4"/>
    <n v="2"/>
    <n v="0.26"/>
    <s v="Weekday"/>
    <x v="2"/>
    <s v="cloudy"/>
  </r>
  <r>
    <n v="453"/>
    <d v="2011-01-20T00:00:00"/>
    <n v="1"/>
    <n v="0"/>
    <n v="1"/>
    <n v="21"/>
    <b v="0"/>
    <n v="4"/>
    <n v="2"/>
    <n v="0.24"/>
    <s v="Weekday"/>
    <x v="2"/>
    <s v="cloudy"/>
  </r>
  <r>
    <n v="454"/>
    <d v="2011-01-20T00:00:00"/>
    <n v="1"/>
    <n v="0"/>
    <n v="1"/>
    <n v="22"/>
    <b v="0"/>
    <n v="4"/>
    <n v="2"/>
    <n v="0.24"/>
    <s v="Weekday"/>
    <x v="2"/>
    <s v="cloudy"/>
  </r>
  <r>
    <n v="455"/>
    <d v="2011-01-20T00:00:00"/>
    <n v="1"/>
    <n v="0"/>
    <n v="1"/>
    <n v="23"/>
    <b v="0"/>
    <n v="4"/>
    <n v="2"/>
    <n v="0.24"/>
    <s v="Weekday"/>
    <x v="2"/>
    <s v="cloudy"/>
  </r>
  <r>
    <n v="456"/>
    <d v="2011-01-21T00:00:00"/>
    <n v="1"/>
    <n v="0"/>
    <n v="1"/>
    <n v="0"/>
    <b v="0"/>
    <n v="5"/>
    <n v="2"/>
    <n v="0.24"/>
    <s v="Weekday"/>
    <x v="0"/>
    <s v="cloudy"/>
  </r>
  <r>
    <n v="457"/>
    <d v="2011-01-21T00:00:00"/>
    <n v="1"/>
    <n v="0"/>
    <n v="1"/>
    <n v="1"/>
    <b v="0"/>
    <n v="5"/>
    <n v="2"/>
    <n v="0.24"/>
    <s v="Weekday"/>
    <x v="0"/>
    <s v="cloudy"/>
  </r>
  <r>
    <n v="458"/>
    <d v="2011-01-21T00:00:00"/>
    <n v="1"/>
    <n v="0"/>
    <n v="1"/>
    <n v="2"/>
    <b v="0"/>
    <n v="5"/>
    <n v="3"/>
    <n v="0.24"/>
    <s v="Weekday"/>
    <x v="0"/>
    <s v="Rain"/>
  </r>
  <r>
    <n v="459"/>
    <d v="2011-01-21T00:00:00"/>
    <n v="1"/>
    <n v="0"/>
    <n v="1"/>
    <n v="3"/>
    <b v="0"/>
    <n v="5"/>
    <n v="3"/>
    <n v="0.22"/>
    <s v="Weekday"/>
    <x v="0"/>
    <s v="Rain"/>
  </r>
  <r>
    <n v="460"/>
    <d v="2011-01-21T00:00:00"/>
    <n v="1"/>
    <n v="0"/>
    <n v="1"/>
    <n v="4"/>
    <b v="0"/>
    <n v="5"/>
    <n v="2"/>
    <n v="0.22"/>
    <s v="Weekday"/>
    <x v="0"/>
    <s v="cloudy"/>
  </r>
  <r>
    <n v="461"/>
    <d v="2011-01-21T00:00:00"/>
    <n v="1"/>
    <n v="0"/>
    <n v="1"/>
    <n v="5"/>
    <b v="0"/>
    <n v="5"/>
    <n v="1"/>
    <n v="0.24"/>
    <s v="Weekday"/>
    <x v="0"/>
    <s v="Clear"/>
  </r>
  <r>
    <n v="462"/>
    <d v="2011-01-21T00:00:00"/>
    <n v="1"/>
    <n v="0"/>
    <n v="1"/>
    <n v="6"/>
    <b v="0"/>
    <n v="5"/>
    <n v="1"/>
    <n v="0.22"/>
    <s v="Weekday"/>
    <x v="0"/>
    <s v="Clear"/>
  </r>
  <r>
    <n v="463"/>
    <d v="2011-01-21T00:00:00"/>
    <n v="1"/>
    <n v="0"/>
    <n v="1"/>
    <n v="7"/>
    <b v="0"/>
    <n v="5"/>
    <n v="1"/>
    <n v="0.2"/>
    <s v="Weekday"/>
    <x v="0"/>
    <s v="Clear"/>
  </r>
  <r>
    <n v="464"/>
    <d v="2011-01-21T00:00:00"/>
    <n v="1"/>
    <n v="0"/>
    <n v="1"/>
    <n v="8"/>
    <b v="0"/>
    <n v="5"/>
    <n v="1"/>
    <n v="0.2"/>
    <s v="Weekday"/>
    <x v="0"/>
    <s v="Clear"/>
  </r>
  <r>
    <n v="465"/>
    <d v="2011-01-21T00:00:00"/>
    <n v="1"/>
    <n v="0"/>
    <n v="1"/>
    <n v="9"/>
    <b v="0"/>
    <n v="5"/>
    <n v="1"/>
    <n v="0.2"/>
    <s v="Weekday"/>
    <x v="0"/>
    <s v="Clear"/>
  </r>
  <r>
    <n v="466"/>
    <d v="2011-01-21T00:00:00"/>
    <n v="1"/>
    <n v="0"/>
    <n v="1"/>
    <n v="10"/>
    <b v="0"/>
    <n v="5"/>
    <n v="1"/>
    <n v="0.2"/>
    <s v="Weekday"/>
    <x v="0"/>
    <s v="Clear"/>
  </r>
  <r>
    <n v="467"/>
    <d v="2011-01-21T00:00:00"/>
    <n v="1"/>
    <n v="0"/>
    <n v="1"/>
    <n v="11"/>
    <b v="0"/>
    <n v="5"/>
    <n v="1"/>
    <n v="0.22"/>
    <s v="Weekday"/>
    <x v="0"/>
    <s v="Clear"/>
  </r>
  <r>
    <n v="468"/>
    <d v="2011-01-21T00:00:00"/>
    <n v="1"/>
    <n v="0"/>
    <n v="1"/>
    <n v="12"/>
    <b v="0"/>
    <n v="5"/>
    <n v="1"/>
    <n v="0.22"/>
    <s v="Weekday"/>
    <x v="1"/>
    <s v="Clear"/>
  </r>
  <r>
    <n v="469"/>
    <d v="2011-01-21T00:00:00"/>
    <n v="1"/>
    <n v="0"/>
    <n v="1"/>
    <n v="13"/>
    <b v="0"/>
    <n v="5"/>
    <n v="1"/>
    <n v="0.2"/>
    <s v="Weekday"/>
    <x v="1"/>
    <s v="Clear"/>
  </r>
  <r>
    <n v="470"/>
    <d v="2011-01-21T00:00:00"/>
    <n v="1"/>
    <n v="0"/>
    <n v="1"/>
    <n v="14"/>
    <b v="0"/>
    <n v="5"/>
    <n v="1"/>
    <n v="0.2"/>
    <s v="Weekday"/>
    <x v="1"/>
    <s v="Clear"/>
  </r>
  <r>
    <n v="471"/>
    <d v="2011-01-21T00:00:00"/>
    <n v="1"/>
    <n v="0"/>
    <n v="1"/>
    <n v="15"/>
    <b v="0"/>
    <n v="5"/>
    <n v="1"/>
    <n v="0.16"/>
    <s v="Weekday"/>
    <x v="1"/>
    <s v="Clear"/>
  </r>
  <r>
    <n v="472"/>
    <d v="2011-01-21T00:00:00"/>
    <n v="1"/>
    <n v="0"/>
    <n v="1"/>
    <n v="16"/>
    <b v="0"/>
    <n v="5"/>
    <n v="1"/>
    <n v="0.16"/>
    <s v="Weekday"/>
    <x v="1"/>
    <s v="Clear"/>
  </r>
  <r>
    <n v="473"/>
    <d v="2011-01-21T00:00:00"/>
    <n v="1"/>
    <n v="0"/>
    <n v="1"/>
    <n v="17"/>
    <b v="0"/>
    <n v="5"/>
    <n v="1"/>
    <n v="0.14000000000000001"/>
    <s v="Weekday"/>
    <x v="1"/>
    <s v="Clear"/>
  </r>
  <r>
    <n v="474"/>
    <d v="2011-01-21T00:00:00"/>
    <n v="1"/>
    <n v="0"/>
    <n v="1"/>
    <n v="18"/>
    <b v="0"/>
    <n v="5"/>
    <n v="1"/>
    <n v="0.12"/>
    <s v="Weekday"/>
    <x v="2"/>
    <s v="Clear"/>
  </r>
  <r>
    <n v="475"/>
    <d v="2011-01-21T00:00:00"/>
    <n v="1"/>
    <n v="0"/>
    <n v="1"/>
    <n v="19"/>
    <b v="0"/>
    <n v="5"/>
    <n v="1"/>
    <n v="0.12"/>
    <s v="Weekday"/>
    <x v="2"/>
    <s v="Clear"/>
  </r>
  <r>
    <n v="476"/>
    <d v="2011-01-21T00:00:00"/>
    <n v="1"/>
    <n v="0"/>
    <n v="1"/>
    <n v="20"/>
    <b v="0"/>
    <n v="5"/>
    <n v="1"/>
    <n v="0.1"/>
    <s v="Weekday"/>
    <x v="2"/>
    <s v="Clear"/>
  </r>
  <r>
    <n v="477"/>
    <d v="2011-01-21T00:00:00"/>
    <n v="1"/>
    <n v="0"/>
    <n v="1"/>
    <n v="21"/>
    <b v="0"/>
    <n v="5"/>
    <n v="1"/>
    <n v="0.08"/>
    <s v="Weekday"/>
    <x v="2"/>
    <s v="Clear"/>
  </r>
  <r>
    <n v="478"/>
    <d v="2011-01-21T00:00:00"/>
    <n v="1"/>
    <n v="0"/>
    <n v="1"/>
    <n v="22"/>
    <b v="0"/>
    <n v="5"/>
    <n v="1"/>
    <n v="0.06"/>
    <s v="Weekday"/>
    <x v="2"/>
    <s v="Clear"/>
  </r>
  <r>
    <n v="479"/>
    <d v="2011-01-21T00:00:00"/>
    <n v="1"/>
    <n v="0"/>
    <n v="1"/>
    <n v="23"/>
    <b v="0"/>
    <n v="5"/>
    <n v="1"/>
    <n v="0.06"/>
    <s v="Weekday"/>
    <x v="2"/>
    <s v="Clear"/>
  </r>
  <r>
    <n v="480"/>
    <d v="2011-01-22T00:00:00"/>
    <n v="1"/>
    <n v="0"/>
    <n v="1"/>
    <n v="0"/>
    <b v="0"/>
    <n v="6"/>
    <n v="1"/>
    <n v="0.04"/>
    <s v="Weekend"/>
    <x v="0"/>
    <s v="Clear"/>
  </r>
  <r>
    <n v="481"/>
    <d v="2011-01-22T00:00:00"/>
    <n v="1"/>
    <n v="0"/>
    <n v="1"/>
    <n v="1"/>
    <b v="0"/>
    <n v="6"/>
    <n v="2"/>
    <n v="0.04"/>
    <s v="Weekend"/>
    <x v="0"/>
    <s v="cloudy"/>
  </r>
  <r>
    <n v="482"/>
    <d v="2011-01-22T00:00:00"/>
    <n v="1"/>
    <n v="0"/>
    <n v="1"/>
    <n v="2"/>
    <b v="0"/>
    <n v="6"/>
    <n v="2"/>
    <n v="0.04"/>
    <s v="Weekend"/>
    <x v="0"/>
    <s v="cloudy"/>
  </r>
  <r>
    <n v="483"/>
    <d v="2011-01-22T00:00:00"/>
    <n v="1"/>
    <n v="0"/>
    <n v="1"/>
    <n v="3"/>
    <b v="0"/>
    <n v="6"/>
    <n v="2"/>
    <n v="0.04"/>
    <s v="Weekend"/>
    <x v="0"/>
    <s v="cloudy"/>
  </r>
  <r>
    <n v="484"/>
    <d v="2011-01-22T00:00:00"/>
    <n v="1"/>
    <n v="0"/>
    <n v="1"/>
    <n v="4"/>
    <b v="0"/>
    <n v="6"/>
    <n v="2"/>
    <n v="0.02"/>
    <s v="Weekend"/>
    <x v="0"/>
    <s v="cloudy"/>
  </r>
  <r>
    <n v="485"/>
    <d v="2011-01-22T00:00:00"/>
    <n v="1"/>
    <n v="0"/>
    <n v="1"/>
    <n v="6"/>
    <b v="0"/>
    <n v="6"/>
    <n v="2"/>
    <n v="0.02"/>
    <s v="Weekend"/>
    <x v="0"/>
    <s v="cloudy"/>
  </r>
  <r>
    <n v="486"/>
    <d v="2011-01-22T00:00:00"/>
    <n v="1"/>
    <n v="0"/>
    <n v="1"/>
    <n v="7"/>
    <b v="0"/>
    <n v="6"/>
    <n v="1"/>
    <n v="0.02"/>
    <s v="Weekend"/>
    <x v="0"/>
    <s v="Clear"/>
  </r>
  <r>
    <n v="487"/>
    <d v="2011-01-22T00:00:00"/>
    <n v="1"/>
    <n v="0"/>
    <n v="1"/>
    <n v="8"/>
    <b v="0"/>
    <n v="6"/>
    <n v="1"/>
    <n v="0.02"/>
    <s v="Weekend"/>
    <x v="0"/>
    <s v="Clear"/>
  </r>
  <r>
    <n v="488"/>
    <d v="2011-01-22T00:00:00"/>
    <n v="1"/>
    <n v="0"/>
    <n v="1"/>
    <n v="9"/>
    <b v="0"/>
    <n v="6"/>
    <n v="1"/>
    <n v="0.04"/>
    <s v="Weekend"/>
    <x v="0"/>
    <s v="Clear"/>
  </r>
  <r>
    <n v="489"/>
    <d v="2011-01-22T00:00:00"/>
    <n v="1"/>
    <n v="0"/>
    <n v="1"/>
    <n v="10"/>
    <b v="0"/>
    <n v="6"/>
    <n v="2"/>
    <n v="0.04"/>
    <s v="Weekend"/>
    <x v="0"/>
    <s v="cloudy"/>
  </r>
  <r>
    <n v="490"/>
    <d v="2011-01-22T00:00:00"/>
    <n v="1"/>
    <n v="0"/>
    <n v="1"/>
    <n v="11"/>
    <b v="0"/>
    <n v="6"/>
    <n v="2"/>
    <n v="0.06"/>
    <s v="Weekend"/>
    <x v="0"/>
    <s v="cloudy"/>
  </r>
  <r>
    <n v="491"/>
    <d v="2011-01-22T00:00:00"/>
    <n v="1"/>
    <n v="0"/>
    <n v="1"/>
    <n v="12"/>
    <b v="0"/>
    <n v="6"/>
    <n v="2"/>
    <n v="0.06"/>
    <s v="Weekend"/>
    <x v="1"/>
    <s v="cloudy"/>
  </r>
  <r>
    <n v="492"/>
    <d v="2011-01-22T00:00:00"/>
    <n v="1"/>
    <n v="0"/>
    <n v="1"/>
    <n v="13"/>
    <b v="0"/>
    <n v="6"/>
    <n v="1"/>
    <n v="0.08"/>
    <s v="Weekend"/>
    <x v="1"/>
    <s v="Clear"/>
  </r>
  <r>
    <n v="493"/>
    <d v="2011-01-22T00:00:00"/>
    <n v="1"/>
    <n v="0"/>
    <n v="1"/>
    <n v="14"/>
    <b v="0"/>
    <n v="6"/>
    <n v="1"/>
    <n v="0.1"/>
    <s v="Weekend"/>
    <x v="1"/>
    <s v="Clear"/>
  </r>
  <r>
    <n v="494"/>
    <d v="2011-01-22T00:00:00"/>
    <n v="1"/>
    <n v="0"/>
    <n v="1"/>
    <n v="15"/>
    <b v="0"/>
    <n v="6"/>
    <n v="1"/>
    <n v="0.12"/>
    <s v="Weekend"/>
    <x v="1"/>
    <s v="Clear"/>
  </r>
  <r>
    <n v="495"/>
    <d v="2011-01-22T00:00:00"/>
    <n v="1"/>
    <n v="0"/>
    <n v="1"/>
    <n v="16"/>
    <b v="0"/>
    <n v="6"/>
    <n v="1"/>
    <n v="0.12"/>
    <s v="Weekend"/>
    <x v="1"/>
    <s v="Clear"/>
  </r>
  <r>
    <n v="496"/>
    <d v="2011-01-22T00:00:00"/>
    <n v="1"/>
    <n v="0"/>
    <n v="1"/>
    <n v="17"/>
    <b v="0"/>
    <n v="6"/>
    <n v="1"/>
    <n v="0.12"/>
    <s v="Weekend"/>
    <x v="1"/>
    <s v="Clear"/>
  </r>
  <r>
    <n v="497"/>
    <d v="2011-01-22T00:00:00"/>
    <n v="1"/>
    <n v="0"/>
    <n v="1"/>
    <n v="18"/>
    <b v="0"/>
    <n v="6"/>
    <n v="1"/>
    <n v="0.08"/>
    <s v="Weekend"/>
    <x v="2"/>
    <s v="Clear"/>
  </r>
  <r>
    <n v="498"/>
    <d v="2011-01-22T00:00:00"/>
    <n v="1"/>
    <n v="0"/>
    <n v="1"/>
    <n v="19"/>
    <b v="0"/>
    <n v="6"/>
    <n v="1"/>
    <n v="0.08"/>
    <s v="Weekend"/>
    <x v="2"/>
    <s v="Clear"/>
  </r>
  <r>
    <n v="499"/>
    <d v="2011-01-22T00:00:00"/>
    <n v="1"/>
    <n v="0"/>
    <n v="1"/>
    <n v="20"/>
    <b v="0"/>
    <n v="6"/>
    <n v="1"/>
    <n v="0.06"/>
    <s v="Weekend"/>
    <x v="2"/>
    <s v="Clear"/>
  </r>
  <r>
    <n v="500"/>
    <d v="2011-01-22T00:00:00"/>
    <n v="1"/>
    <n v="0"/>
    <n v="1"/>
    <n v="21"/>
    <b v="0"/>
    <n v="6"/>
    <n v="1"/>
    <n v="0.06"/>
    <s v="Weekend"/>
    <x v="2"/>
    <s v="Clear"/>
  </r>
  <r>
    <n v="501"/>
    <d v="2011-01-22T00:00:00"/>
    <n v="1"/>
    <n v="0"/>
    <n v="1"/>
    <n v="22"/>
    <b v="0"/>
    <n v="6"/>
    <n v="1"/>
    <n v="0.06"/>
    <s v="Weekend"/>
    <x v="2"/>
    <s v="Clear"/>
  </r>
  <r>
    <n v="502"/>
    <d v="2011-01-22T00:00:00"/>
    <n v="1"/>
    <n v="0"/>
    <n v="1"/>
    <n v="23"/>
    <b v="0"/>
    <n v="6"/>
    <n v="1"/>
    <n v="0.04"/>
    <s v="Weekend"/>
    <x v="2"/>
    <s v="Clear"/>
  </r>
  <r>
    <n v="503"/>
    <d v="2011-01-23T00:00:00"/>
    <n v="1"/>
    <n v="0"/>
    <n v="1"/>
    <n v="0"/>
    <b v="0"/>
    <n v="0"/>
    <n v="1"/>
    <n v="0.04"/>
    <s v="Weekend"/>
    <x v="0"/>
    <s v="Clear"/>
  </r>
  <r>
    <n v="504"/>
    <d v="2011-01-23T00:00:00"/>
    <n v="1"/>
    <n v="0"/>
    <n v="1"/>
    <n v="1"/>
    <b v="0"/>
    <n v="0"/>
    <n v="1"/>
    <n v="0.04"/>
    <s v="Weekend"/>
    <x v="0"/>
    <s v="Clear"/>
  </r>
  <r>
    <n v="505"/>
    <d v="2011-01-23T00:00:00"/>
    <n v="1"/>
    <n v="0"/>
    <n v="1"/>
    <n v="2"/>
    <b v="0"/>
    <n v="0"/>
    <n v="1"/>
    <n v="0.02"/>
    <s v="Weekend"/>
    <x v="0"/>
    <s v="Clear"/>
  </r>
  <r>
    <n v="506"/>
    <d v="2011-01-23T00:00:00"/>
    <n v="1"/>
    <n v="0"/>
    <n v="1"/>
    <n v="3"/>
    <b v="0"/>
    <n v="0"/>
    <n v="1"/>
    <n v="0.02"/>
    <s v="Weekend"/>
    <x v="0"/>
    <s v="Clear"/>
  </r>
  <r>
    <n v="507"/>
    <d v="2011-01-23T00:00:00"/>
    <n v="1"/>
    <n v="0"/>
    <n v="1"/>
    <n v="5"/>
    <b v="0"/>
    <n v="0"/>
    <n v="2"/>
    <n v="0.04"/>
    <s v="Weekend"/>
    <x v="0"/>
    <s v="cloudy"/>
  </r>
  <r>
    <n v="508"/>
    <d v="2011-01-23T00:00:00"/>
    <n v="1"/>
    <n v="0"/>
    <n v="1"/>
    <n v="6"/>
    <b v="0"/>
    <n v="0"/>
    <n v="2"/>
    <n v="0.04"/>
    <s v="Weekend"/>
    <x v="0"/>
    <s v="cloudy"/>
  </r>
  <r>
    <n v="509"/>
    <d v="2011-01-23T00:00:00"/>
    <n v="1"/>
    <n v="0"/>
    <n v="1"/>
    <n v="7"/>
    <b v="0"/>
    <n v="0"/>
    <n v="1"/>
    <n v="0.08"/>
    <s v="Weekend"/>
    <x v="0"/>
    <s v="Clear"/>
  </r>
  <r>
    <n v="510"/>
    <d v="2011-01-23T00:00:00"/>
    <n v="1"/>
    <n v="0"/>
    <n v="1"/>
    <n v="8"/>
    <b v="0"/>
    <n v="0"/>
    <n v="1"/>
    <n v="0.06"/>
    <s v="Weekend"/>
    <x v="0"/>
    <s v="Clear"/>
  </r>
  <r>
    <n v="511"/>
    <d v="2011-01-23T00:00:00"/>
    <n v="1"/>
    <n v="0"/>
    <n v="1"/>
    <n v="9"/>
    <b v="0"/>
    <n v="0"/>
    <n v="1"/>
    <n v="0.1"/>
    <s v="Weekend"/>
    <x v="0"/>
    <s v="Clear"/>
  </r>
  <r>
    <n v="512"/>
    <d v="2011-01-23T00:00:00"/>
    <n v="1"/>
    <n v="0"/>
    <n v="1"/>
    <n v="10"/>
    <b v="0"/>
    <n v="0"/>
    <n v="1"/>
    <n v="0.14000000000000001"/>
    <s v="Weekend"/>
    <x v="0"/>
    <s v="Clear"/>
  </r>
  <r>
    <n v="513"/>
    <d v="2011-01-23T00:00:00"/>
    <n v="1"/>
    <n v="0"/>
    <n v="1"/>
    <n v="11"/>
    <b v="0"/>
    <n v="0"/>
    <n v="1"/>
    <n v="0.14000000000000001"/>
    <s v="Weekend"/>
    <x v="0"/>
    <s v="Clear"/>
  </r>
  <r>
    <n v="514"/>
    <d v="2011-01-23T00:00:00"/>
    <n v="1"/>
    <n v="0"/>
    <n v="1"/>
    <n v="12"/>
    <b v="0"/>
    <n v="0"/>
    <n v="1"/>
    <n v="0.16"/>
    <s v="Weekend"/>
    <x v="1"/>
    <s v="Clear"/>
  </r>
  <r>
    <n v="515"/>
    <d v="2011-01-23T00:00:00"/>
    <n v="1"/>
    <n v="0"/>
    <n v="1"/>
    <n v="13"/>
    <b v="0"/>
    <n v="0"/>
    <n v="1"/>
    <n v="0.14000000000000001"/>
    <s v="Weekend"/>
    <x v="1"/>
    <s v="Clear"/>
  </r>
  <r>
    <n v="516"/>
    <d v="2011-01-23T00:00:00"/>
    <n v="1"/>
    <n v="0"/>
    <n v="1"/>
    <n v="14"/>
    <b v="0"/>
    <n v="0"/>
    <n v="1"/>
    <n v="0.16"/>
    <s v="Weekend"/>
    <x v="1"/>
    <s v="Clear"/>
  </r>
  <r>
    <n v="517"/>
    <d v="2011-01-23T00:00:00"/>
    <n v="1"/>
    <n v="0"/>
    <n v="1"/>
    <n v="15"/>
    <b v="0"/>
    <n v="0"/>
    <n v="1"/>
    <n v="0.16"/>
    <s v="Weekend"/>
    <x v="1"/>
    <s v="Clear"/>
  </r>
  <r>
    <n v="518"/>
    <d v="2011-01-23T00:00:00"/>
    <n v="1"/>
    <n v="0"/>
    <n v="1"/>
    <n v="16"/>
    <b v="0"/>
    <n v="0"/>
    <n v="1"/>
    <n v="0.16"/>
    <s v="Weekend"/>
    <x v="1"/>
    <s v="Clear"/>
  </r>
  <r>
    <n v="519"/>
    <d v="2011-01-23T00:00:00"/>
    <n v="1"/>
    <n v="0"/>
    <n v="1"/>
    <n v="17"/>
    <b v="0"/>
    <n v="0"/>
    <n v="1"/>
    <n v="0.14000000000000001"/>
    <s v="Weekend"/>
    <x v="1"/>
    <s v="Clear"/>
  </r>
  <r>
    <n v="520"/>
    <d v="2011-01-23T00:00:00"/>
    <n v="1"/>
    <n v="0"/>
    <n v="1"/>
    <n v="18"/>
    <b v="0"/>
    <n v="0"/>
    <n v="1"/>
    <n v="0.12"/>
    <s v="Weekend"/>
    <x v="2"/>
    <s v="Clear"/>
  </r>
  <r>
    <n v="521"/>
    <d v="2011-01-23T00:00:00"/>
    <n v="1"/>
    <n v="0"/>
    <n v="1"/>
    <n v="19"/>
    <b v="0"/>
    <n v="0"/>
    <n v="1"/>
    <n v="0.12"/>
    <s v="Weekend"/>
    <x v="2"/>
    <s v="Clear"/>
  </r>
  <r>
    <n v="522"/>
    <d v="2011-01-23T00:00:00"/>
    <n v="1"/>
    <n v="0"/>
    <n v="1"/>
    <n v="20"/>
    <b v="0"/>
    <n v="0"/>
    <n v="1"/>
    <n v="0.1"/>
    <s v="Weekend"/>
    <x v="2"/>
    <s v="Clear"/>
  </r>
  <r>
    <n v="523"/>
    <d v="2011-01-23T00:00:00"/>
    <n v="1"/>
    <n v="0"/>
    <n v="1"/>
    <n v="21"/>
    <b v="0"/>
    <n v="0"/>
    <n v="1"/>
    <n v="0.1"/>
    <s v="Weekend"/>
    <x v="2"/>
    <s v="Clear"/>
  </r>
  <r>
    <n v="524"/>
    <d v="2011-01-23T00:00:00"/>
    <n v="1"/>
    <n v="0"/>
    <n v="1"/>
    <n v="22"/>
    <b v="0"/>
    <n v="0"/>
    <n v="1"/>
    <n v="0.08"/>
    <s v="Weekend"/>
    <x v="2"/>
    <s v="Clear"/>
  </r>
  <r>
    <n v="525"/>
    <d v="2011-01-23T00:00:00"/>
    <n v="1"/>
    <n v="0"/>
    <n v="1"/>
    <n v="23"/>
    <b v="0"/>
    <n v="0"/>
    <n v="1"/>
    <n v="0.06"/>
    <s v="Weekend"/>
    <x v="2"/>
    <s v="Clear"/>
  </r>
  <r>
    <n v="526"/>
    <d v="2011-01-24T00:00:00"/>
    <n v="1"/>
    <n v="0"/>
    <n v="1"/>
    <n v="0"/>
    <b v="0"/>
    <n v="1"/>
    <n v="1"/>
    <n v="0.06"/>
    <s v="Weekday"/>
    <x v="0"/>
    <s v="Clear"/>
  </r>
  <r>
    <n v="527"/>
    <d v="2011-01-24T00:00:00"/>
    <n v="1"/>
    <n v="0"/>
    <n v="1"/>
    <n v="1"/>
    <b v="0"/>
    <n v="1"/>
    <n v="1"/>
    <n v="0.04"/>
    <s v="Weekday"/>
    <x v="0"/>
    <s v="Clear"/>
  </r>
  <r>
    <n v="528"/>
    <d v="2011-01-24T00:00:00"/>
    <n v="1"/>
    <n v="0"/>
    <n v="1"/>
    <n v="3"/>
    <b v="0"/>
    <n v="1"/>
    <n v="1"/>
    <n v="0.04"/>
    <s v="Weekday"/>
    <x v="0"/>
    <s v="Clear"/>
  </r>
  <r>
    <n v="529"/>
    <d v="2011-01-24T00:00:00"/>
    <n v="1"/>
    <n v="0"/>
    <n v="1"/>
    <n v="4"/>
    <b v="0"/>
    <n v="1"/>
    <n v="1"/>
    <n v="0.02"/>
    <s v="Weekday"/>
    <x v="0"/>
    <s v="Clear"/>
  </r>
  <r>
    <n v="530"/>
    <d v="2011-01-24T00:00:00"/>
    <n v="1"/>
    <n v="0"/>
    <n v="1"/>
    <n v="5"/>
    <b v="0"/>
    <n v="1"/>
    <n v="1"/>
    <n v="0.02"/>
    <s v="Weekday"/>
    <x v="0"/>
    <s v="Clear"/>
  </r>
  <r>
    <n v="531"/>
    <d v="2011-01-24T00:00:00"/>
    <n v="1"/>
    <n v="0"/>
    <n v="1"/>
    <n v="6"/>
    <b v="0"/>
    <n v="1"/>
    <n v="1"/>
    <n v="0.02"/>
    <s v="Weekday"/>
    <x v="0"/>
    <s v="Clear"/>
  </r>
  <r>
    <n v="532"/>
    <d v="2011-01-24T00:00:00"/>
    <n v="1"/>
    <n v="0"/>
    <n v="1"/>
    <n v="7"/>
    <b v="0"/>
    <n v="1"/>
    <n v="1"/>
    <n v="0.02"/>
    <s v="Weekday"/>
    <x v="0"/>
    <s v="Clear"/>
  </r>
  <r>
    <n v="533"/>
    <d v="2011-01-24T00:00:00"/>
    <n v="1"/>
    <n v="0"/>
    <n v="1"/>
    <n v="8"/>
    <b v="0"/>
    <n v="1"/>
    <n v="1"/>
    <n v="0.04"/>
    <s v="Weekday"/>
    <x v="0"/>
    <s v="Clear"/>
  </r>
  <r>
    <n v="534"/>
    <d v="2011-01-24T00:00:00"/>
    <n v="1"/>
    <n v="0"/>
    <n v="1"/>
    <n v="9"/>
    <b v="0"/>
    <n v="1"/>
    <n v="1"/>
    <n v="0.06"/>
    <s v="Weekday"/>
    <x v="0"/>
    <s v="Clear"/>
  </r>
  <r>
    <n v="535"/>
    <d v="2011-01-24T00:00:00"/>
    <n v="1"/>
    <n v="0"/>
    <n v="1"/>
    <n v="10"/>
    <b v="0"/>
    <n v="1"/>
    <n v="1"/>
    <n v="0.1"/>
    <s v="Weekday"/>
    <x v="0"/>
    <s v="Clear"/>
  </r>
  <r>
    <n v="536"/>
    <d v="2011-01-24T00:00:00"/>
    <n v="1"/>
    <n v="0"/>
    <n v="1"/>
    <n v="11"/>
    <b v="0"/>
    <n v="1"/>
    <n v="1"/>
    <n v="0.1"/>
    <s v="Weekday"/>
    <x v="0"/>
    <s v="Clear"/>
  </r>
  <r>
    <n v="537"/>
    <d v="2011-01-24T00:00:00"/>
    <n v="1"/>
    <n v="0"/>
    <n v="1"/>
    <n v="12"/>
    <b v="0"/>
    <n v="1"/>
    <n v="2"/>
    <n v="0.12"/>
    <s v="Weekday"/>
    <x v="1"/>
    <s v="cloudy"/>
  </r>
  <r>
    <n v="538"/>
    <d v="2011-01-24T00:00:00"/>
    <n v="1"/>
    <n v="0"/>
    <n v="1"/>
    <n v="13"/>
    <b v="0"/>
    <n v="1"/>
    <n v="2"/>
    <n v="0.14000000000000001"/>
    <s v="Weekday"/>
    <x v="1"/>
    <s v="cloudy"/>
  </r>
  <r>
    <n v="539"/>
    <d v="2011-01-24T00:00:00"/>
    <n v="1"/>
    <n v="0"/>
    <n v="1"/>
    <n v="14"/>
    <b v="0"/>
    <n v="1"/>
    <n v="2"/>
    <n v="0.14000000000000001"/>
    <s v="Weekday"/>
    <x v="1"/>
    <s v="cloudy"/>
  </r>
  <r>
    <n v="540"/>
    <d v="2011-01-24T00:00:00"/>
    <n v="1"/>
    <n v="0"/>
    <n v="1"/>
    <n v="15"/>
    <b v="0"/>
    <n v="1"/>
    <n v="1"/>
    <n v="0.16"/>
    <s v="Weekday"/>
    <x v="1"/>
    <s v="Clear"/>
  </r>
  <r>
    <n v="541"/>
    <d v="2011-01-24T00:00:00"/>
    <n v="1"/>
    <n v="0"/>
    <n v="1"/>
    <n v="16"/>
    <b v="0"/>
    <n v="1"/>
    <n v="1"/>
    <n v="0.16"/>
    <s v="Weekday"/>
    <x v="1"/>
    <s v="Clear"/>
  </r>
  <r>
    <n v="542"/>
    <d v="2011-01-24T00:00:00"/>
    <n v="1"/>
    <n v="0"/>
    <n v="1"/>
    <n v="17"/>
    <b v="0"/>
    <n v="1"/>
    <n v="1"/>
    <n v="0.14000000000000001"/>
    <s v="Weekday"/>
    <x v="1"/>
    <s v="Clear"/>
  </r>
  <r>
    <n v="543"/>
    <d v="2011-01-24T00:00:00"/>
    <n v="1"/>
    <n v="0"/>
    <n v="1"/>
    <n v="18"/>
    <b v="0"/>
    <n v="1"/>
    <n v="1"/>
    <n v="0.14000000000000001"/>
    <s v="Weekday"/>
    <x v="2"/>
    <s v="Clear"/>
  </r>
  <r>
    <n v="544"/>
    <d v="2011-01-24T00:00:00"/>
    <n v="1"/>
    <n v="0"/>
    <n v="1"/>
    <n v="19"/>
    <b v="0"/>
    <n v="1"/>
    <n v="1"/>
    <n v="0.14000000000000001"/>
    <s v="Weekday"/>
    <x v="2"/>
    <s v="Clear"/>
  </r>
  <r>
    <n v="545"/>
    <d v="2011-01-24T00:00:00"/>
    <n v="1"/>
    <n v="0"/>
    <n v="1"/>
    <n v="20"/>
    <b v="0"/>
    <n v="1"/>
    <n v="1"/>
    <n v="0.14000000000000001"/>
    <s v="Weekday"/>
    <x v="2"/>
    <s v="Clear"/>
  </r>
  <r>
    <n v="546"/>
    <d v="2011-01-24T00:00:00"/>
    <n v="1"/>
    <n v="0"/>
    <n v="1"/>
    <n v="21"/>
    <b v="0"/>
    <n v="1"/>
    <n v="1"/>
    <n v="0.14000000000000001"/>
    <s v="Weekday"/>
    <x v="2"/>
    <s v="Clear"/>
  </r>
  <r>
    <n v="547"/>
    <d v="2011-01-24T00:00:00"/>
    <n v="1"/>
    <n v="0"/>
    <n v="1"/>
    <n v="22"/>
    <b v="0"/>
    <n v="1"/>
    <n v="2"/>
    <n v="0.14000000000000001"/>
    <s v="Weekday"/>
    <x v="2"/>
    <s v="cloudy"/>
  </r>
  <r>
    <n v="548"/>
    <d v="2011-01-24T00:00:00"/>
    <n v="1"/>
    <n v="0"/>
    <n v="1"/>
    <n v="23"/>
    <b v="0"/>
    <n v="1"/>
    <n v="2"/>
    <n v="0.16"/>
    <s v="Weekday"/>
    <x v="2"/>
    <s v="cloudy"/>
  </r>
  <r>
    <n v="549"/>
    <d v="2011-01-25T00:00:00"/>
    <n v="1"/>
    <n v="0"/>
    <n v="1"/>
    <n v="0"/>
    <b v="0"/>
    <n v="2"/>
    <n v="2"/>
    <n v="0.16"/>
    <s v="Weekday"/>
    <x v="0"/>
    <s v="cloudy"/>
  </r>
  <r>
    <n v="550"/>
    <d v="2011-01-25T00:00:00"/>
    <n v="1"/>
    <n v="0"/>
    <n v="1"/>
    <n v="1"/>
    <b v="0"/>
    <n v="2"/>
    <n v="2"/>
    <n v="0.16"/>
    <s v="Weekday"/>
    <x v="0"/>
    <s v="cloudy"/>
  </r>
  <r>
    <n v="551"/>
    <d v="2011-01-25T00:00:00"/>
    <n v="1"/>
    <n v="0"/>
    <n v="1"/>
    <n v="2"/>
    <b v="0"/>
    <n v="2"/>
    <n v="1"/>
    <n v="0.16"/>
    <s v="Weekday"/>
    <x v="0"/>
    <s v="Clear"/>
  </r>
  <r>
    <n v="552"/>
    <d v="2011-01-25T00:00:00"/>
    <n v="1"/>
    <n v="0"/>
    <n v="1"/>
    <n v="4"/>
    <b v="0"/>
    <n v="2"/>
    <n v="1"/>
    <n v="0.14000000000000001"/>
    <s v="Weekday"/>
    <x v="0"/>
    <s v="Clear"/>
  </r>
  <r>
    <n v="553"/>
    <d v="2011-01-25T00:00:00"/>
    <n v="1"/>
    <n v="0"/>
    <n v="1"/>
    <n v="5"/>
    <b v="0"/>
    <n v="2"/>
    <n v="1"/>
    <n v="0.14000000000000001"/>
    <s v="Weekday"/>
    <x v="0"/>
    <s v="Clear"/>
  </r>
  <r>
    <n v="554"/>
    <d v="2011-01-25T00:00:00"/>
    <n v="1"/>
    <n v="0"/>
    <n v="1"/>
    <n v="6"/>
    <b v="0"/>
    <n v="2"/>
    <n v="1"/>
    <n v="0.16"/>
    <s v="Weekday"/>
    <x v="0"/>
    <s v="Clear"/>
  </r>
  <r>
    <n v="555"/>
    <d v="2011-01-25T00:00:00"/>
    <n v="1"/>
    <n v="0"/>
    <n v="1"/>
    <n v="7"/>
    <b v="0"/>
    <n v="2"/>
    <n v="1"/>
    <n v="0.16"/>
    <s v="Weekday"/>
    <x v="0"/>
    <s v="Clear"/>
  </r>
  <r>
    <n v="556"/>
    <d v="2011-01-25T00:00:00"/>
    <n v="1"/>
    <n v="0"/>
    <n v="1"/>
    <n v="8"/>
    <b v="0"/>
    <n v="2"/>
    <n v="2"/>
    <n v="0.16"/>
    <s v="Weekday"/>
    <x v="0"/>
    <s v="cloudy"/>
  </r>
  <r>
    <n v="557"/>
    <d v="2011-01-25T00:00:00"/>
    <n v="1"/>
    <n v="0"/>
    <n v="1"/>
    <n v="9"/>
    <b v="0"/>
    <n v="2"/>
    <n v="2"/>
    <n v="0.2"/>
    <s v="Weekday"/>
    <x v="0"/>
    <s v="cloudy"/>
  </r>
  <r>
    <n v="558"/>
    <d v="2011-01-25T00:00:00"/>
    <n v="1"/>
    <n v="0"/>
    <n v="1"/>
    <n v="10"/>
    <b v="0"/>
    <n v="2"/>
    <n v="2"/>
    <n v="0.22"/>
    <s v="Weekday"/>
    <x v="0"/>
    <s v="cloudy"/>
  </r>
  <r>
    <n v="559"/>
    <d v="2011-01-25T00:00:00"/>
    <n v="1"/>
    <n v="0"/>
    <n v="1"/>
    <n v="11"/>
    <b v="0"/>
    <n v="2"/>
    <n v="2"/>
    <n v="0.24"/>
    <s v="Weekday"/>
    <x v="0"/>
    <s v="cloudy"/>
  </r>
  <r>
    <n v="560"/>
    <d v="2011-01-25T00:00:00"/>
    <n v="1"/>
    <n v="0"/>
    <n v="1"/>
    <n v="12"/>
    <b v="0"/>
    <n v="2"/>
    <n v="2"/>
    <n v="0.26"/>
    <s v="Weekday"/>
    <x v="1"/>
    <s v="cloudy"/>
  </r>
  <r>
    <n v="561"/>
    <d v="2011-01-25T00:00:00"/>
    <n v="1"/>
    <n v="0"/>
    <n v="1"/>
    <n v="13"/>
    <b v="0"/>
    <n v="2"/>
    <n v="2"/>
    <n v="0.26"/>
    <s v="Weekday"/>
    <x v="1"/>
    <s v="cloudy"/>
  </r>
  <r>
    <n v="562"/>
    <d v="2011-01-25T00:00:00"/>
    <n v="1"/>
    <n v="0"/>
    <n v="1"/>
    <n v="14"/>
    <b v="0"/>
    <n v="2"/>
    <n v="2"/>
    <n v="0.3"/>
    <s v="Weekday"/>
    <x v="1"/>
    <s v="cloudy"/>
  </r>
  <r>
    <n v="563"/>
    <d v="2011-01-25T00:00:00"/>
    <n v="1"/>
    <n v="0"/>
    <n v="1"/>
    <n v="15"/>
    <b v="0"/>
    <n v="2"/>
    <n v="2"/>
    <n v="0.32"/>
    <s v="Weekday"/>
    <x v="1"/>
    <s v="cloudy"/>
  </r>
  <r>
    <n v="564"/>
    <d v="2011-01-25T00:00:00"/>
    <n v="1"/>
    <n v="0"/>
    <n v="1"/>
    <n v="16"/>
    <b v="0"/>
    <n v="2"/>
    <n v="2"/>
    <n v="0.32"/>
    <s v="Weekday"/>
    <x v="1"/>
    <s v="cloudy"/>
  </r>
  <r>
    <n v="565"/>
    <d v="2011-01-25T00:00:00"/>
    <n v="1"/>
    <n v="0"/>
    <n v="1"/>
    <n v="17"/>
    <b v="0"/>
    <n v="2"/>
    <n v="1"/>
    <n v="0.3"/>
    <s v="Weekday"/>
    <x v="1"/>
    <s v="Clear"/>
  </r>
  <r>
    <n v="566"/>
    <d v="2011-01-25T00:00:00"/>
    <n v="1"/>
    <n v="0"/>
    <n v="1"/>
    <n v="18"/>
    <b v="0"/>
    <n v="2"/>
    <n v="2"/>
    <n v="0.3"/>
    <s v="Weekday"/>
    <x v="2"/>
    <s v="cloudy"/>
  </r>
  <r>
    <n v="567"/>
    <d v="2011-01-25T00:00:00"/>
    <n v="1"/>
    <n v="0"/>
    <n v="1"/>
    <n v="19"/>
    <b v="0"/>
    <n v="2"/>
    <n v="2"/>
    <n v="0.26"/>
    <s v="Weekday"/>
    <x v="2"/>
    <s v="cloudy"/>
  </r>
  <r>
    <n v="568"/>
    <d v="2011-01-25T00:00:00"/>
    <n v="1"/>
    <n v="0"/>
    <n v="1"/>
    <n v="20"/>
    <b v="0"/>
    <n v="2"/>
    <n v="1"/>
    <n v="0.24"/>
    <s v="Weekday"/>
    <x v="2"/>
    <s v="Clear"/>
  </r>
  <r>
    <n v="569"/>
    <d v="2011-01-25T00:00:00"/>
    <n v="1"/>
    <n v="0"/>
    <n v="1"/>
    <n v="21"/>
    <b v="0"/>
    <n v="2"/>
    <n v="1"/>
    <n v="0.24"/>
    <s v="Weekday"/>
    <x v="2"/>
    <s v="Clear"/>
  </r>
  <r>
    <n v="570"/>
    <d v="2011-01-25T00:00:00"/>
    <n v="1"/>
    <n v="0"/>
    <n v="1"/>
    <n v="22"/>
    <b v="0"/>
    <n v="2"/>
    <n v="1"/>
    <n v="0.22"/>
    <s v="Weekday"/>
    <x v="2"/>
    <s v="Clear"/>
  </r>
  <r>
    <n v="571"/>
    <d v="2011-01-25T00:00:00"/>
    <n v="1"/>
    <n v="0"/>
    <n v="1"/>
    <n v="23"/>
    <b v="0"/>
    <n v="2"/>
    <n v="2"/>
    <n v="0.22"/>
    <s v="Weekday"/>
    <x v="2"/>
    <s v="cloudy"/>
  </r>
  <r>
    <n v="572"/>
    <d v="2011-01-26T00:00:00"/>
    <n v="1"/>
    <n v="0"/>
    <n v="1"/>
    <n v="0"/>
    <b v="0"/>
    <n v="3"/>
    <n v="2"/>
    <n v="0.22"/>
    <s v="Weekday"/>
    <x v="0"/>
    <s v="cloudy"/>
  </r>
  <r>
    <n v="573"/>
    <d v="2011-01-26T00:00:00"/>
    <n v="1"/>
    <n v="0"/>
    <n v="1"/>
    <n v="1"/>
    <b v="0"/>
    <n v="3"/>
    <n v="2"/>
    <n v="0.24"/>
    <s v="Weekday"/>
    <x v="0"/>
    <s v="cloudy"/>
  </r>
  <r>
    <n v="574"/>
    <d v="2011-01-26T00:00:00"/>
    <n v="1"/>
    <n v="0"/>
    <n v="1"/>
    <n v="2"/>
    <b v="0"/>
    <n v="3"/>
    <n v="3"/>
    <n v="0.22"/>
    <s v="Weekday"/>
    <x v="0"/>
    <s v="Rain"/>
  </r>
  <r>
    <n v="575"/>
    <d v="2011-01-26T00:00:00"/>
    <n v="1"/>
    <n v="0"/>
    <n v="1"/>
    <n v="5"/>
    <b v="0"/>
    <n v="3"/>
    <n v="3"/>
    <n v="0.2"/>
    <s v="Weekday"/>
    <x v="0"/>
    <s v="Rain"/>
  </r>
  <r>
    <n v="576"/>
    <d v="2011-01-26T00:00:00"/>
    <n v="1"/>
    <n v="0"/>
    <n v="1"/>
    <n v="6"/>
    <b v="0"/>
    <n v="3"/>
    <n v="3"/>
    <n v="0.2"/>
    <s v="Weekday"/>
    <x v="0"/>
    <s v="Rain"/>
  </r>
  <r>
    <n v="577"/>
    <d v="2011-01-26T00:00:00"/>
    <n v="1"/>
    <n v="0"/>
    <n v="1"/>
    <n v="7"/>
    <b v="0"/>
    <n v="3"/>
    <n v="3"/>
    <n v="0.22"/>
    <s v="Weekday"/>
    <x v="0"/>
    <s v="Rain"/>
  </r>
  <r>
    <n v="578"/>
    <d v="2011-01-26T00:00:00"/>
    <n v="1"/>
    <n v="0"/>
    <n v="1"/>
    <n v="8"/>
    <b v="0"/>
    <n v="3"/>
    <n v="3"/>
    <n v="0.22"/>
    <s v="Weekday"/>
    <x v="0"/>
    <s v="Rain"/>
  </r>
  <r>
    <n v="579"/>
    <d v="2011-01-26T00:00:00"/>
    <n v="1"/>
    <n v="0"/>
    <n v="1"/>
    <n v="9"/>
    <b v="0"/>
    <n v="3"/>
    <n v="3"/>
    <n v="0.22"/>
    <s v="Weekday"/>
    <x v="0"/>
    <s v="Rain"/>
  </r>
  <r>
    <n v="580"/>
    <d v="2011-01-26T00:00:00"/>
    <n v="1"/>
    <n v="0"/>
    <n v="1"/>
    <n v="10"/>
    <b v="0"/>
    <n v="3"/>
    <n v="3"/>
    <n v="0.22"/>
    <s v="Weekday"/>
    <x v="0"/>
    <s v="Rain"/>
  </r>
  <r>
    <n v="581"/>
    <d v="2011-01-26T00:00:00"/>
    <n v="1"/>
    <n v="0"/>
    <n v="1"/>
    <n v="11"/>
    <b v="0"/>
    <n v="3"/>
    <n v="3"/>
    <n v="0.22"/>
    <s v="Weekday"/>
    <x v="0"/>
    <s v="Rain"/>
  </r>
  <r>
    <n v="582"/>
    <d v="2011-01-26T00:00:00"/>
    <n v="1"/>
    <n v="0"/>
    <n v="1"/>
    <n v="12"/>
    <b v="0"/>
    <n v="3"/>
    <n v="3"/>
    <n v="0.22"/>
    <s v="Weekday"/>
    <x v="1"/>
    <s v="Rain"/>
  </r>
  <r>
    <n v="583"/>
    <d v="2011-01-26T00:00:00"/>
    <n v="1"/>
    <n v="0"/>
    <n v="1"/>
    <n v="13"/>
    <b v="0"/>
    <n v="3"/>
    <n v="3"/>
    <n v="0.22"/>
    <s v="Weekday"/>
    <x v="1"/>
    <s v="Rain"/>
  </r>
  <r>
    <n v="584"/>
    <d v="2011-01-26T00:00:00"/>
    <n v="1"/>
    <n v="0"/>
    <n v="1"/>
    <n v="14"/>
    <b v="0"/>
    <n v="3"/>
    <n v="3"/>
    <n v="0.22"/>
    <s v="Weekday"/>
    <x v="1"/>
    <s v="Rain"/>
  </r>
  <r>
    <n v="585"/>
    <d v="2011-01-26T00:00:00"/>
    <n v="1"/>
    <n v="0"/>
    <n v="1"/>
    <n v="15"/>
    <b v="0"/>
    <n v="3"/>
    <n v="3"/>
    <n v="0.22"/>
    <s v="Weekday"/>
    <x v="1"/>
    <s v="Rain"/>
  </r>
  <r>
    <n v="586"/>
    <d v="2011-01-26T00:00:00"/>
    <n v="1"/>
    <n v="0"/>
    <n v="1"/>
    <n v="16"/>
    <b v="0"/>
    <n v="3"/>
    <n v="4"/>
    <n v="0.22"/>
    <s v="Weekday"/>
    <x v="1"/>
    <s v="Heavy Rain"/>
  </r>
  <r>
    <n v="587"/>
    <d v="2011-01-26T00:00:00"/>
    <n v="1"/>
    <n v="0"/>
    <n v="1"/>
    <n v="17"/>
    <b v="0"/>
    <n v="3"/>
    <n v="3"/>
    <n v="0.2"/>
    <s v="Weekday"/>
    <x v="1"/>
    <s v="Rain"/>
  </r>
  <r>
    <n v="588"/>
    <d v="2011-01-27T00:00:00"/>
    <n v="1"/>
    <n v="0"/>
    <n v="1"/>
    <n v="16"/>
    <b v="0"/>
    <n v="4"/>
    <n v="1"/>
    <n v="0.22"/>
    <s v="Weekday"/>
    <x v="1"/>
    <s v="Clear"/>
  </r>
  <r>
    <n v="589"/>
    <d v="2011-01-27T00:00:00"/>
    <n v="1"/>
    <n v="0"/>
    <n v="1"/>
    <n v="17"/>
    <b v="0"/>
    <n v="4"/>
    <n v="1"/>
    <n v="0.22"/>
    <s v="Weekday"/>
    <x v="1"/>
    <s v="Clear"/>
  </r>
  <r>
    <n v="590"/>
    <d v="2011-01-27T00:00:00"/>
    <n v="1"/>
    <n v="0"/>
    <n v="1"/>
    <n v="18"/>
    <b v="0"/>
    <n v="4"/>
    <n v="1"/>
    <n v="0.2"/>
    <s v="Weekday"/>
    <x v="2"/>
    <s v="Clear"/>
  </r>
  <r>
    <n v="591"/>
    <d v="2011-01-27T00:00:00"/>
    <n v="1"/>
    <n v="0"/>
    <n v="1"/>
    <n v="19"/>
    <b v="0"/>
    <n v="4"/>
    <n v="1"/>
    <n v="0.2"/>
    <s v="Weekday"/>
    <x v="2"/>
    <s v="Clear"/>
  </r>
  <r>
    <n v="592"/>
    <d v="2011-01-27T00:00:00"/>
    <n v="1"/>
    <n v="0"/>
    <n v="1"/>
    <n v="20"/>
    <b v="0"/>
    <n v="4"/>
    <n v="1"/>
    <n v="0.18"/>
    <s v="Weekday"/>
    <x v="2"/>
    <s v="Clear"/>
  </r>
  <r>
    <n v="593"/>
    <d v="2011-01-27T00:00:00"/>
    <n v="1"/>
    <n v="0"/>
    <n v="1"/>
    <n v="21"/>
    <b v="0"/>
    <n v="4"/>
    <n v="1"/>
    <n v="0.18"/>
    <s v="Weekday"/>
    <x v="2"/>
    <s v="Clear"/>
  </r>
  <r>
    <n v="594"/>
    <d v="2011-01-27T00:00:00"/>
    <n v="1"/>
    <n v="0"/>
    <n v="1"/>
    <n v="22"/>
    <b v="0"/>
    <n v="4"/>
    <n v="1"/>
    <n v="0.18"/>
    <s v="Weekday"/>
    <x v="2"/>
    <s v="Clear"/>
  </r>
  <r>
    <n v="595"/>
    <d v="2011-01-27T00:00:00"/>
    <n v="1"/>
    <n v="0"/>
    <n v="1"/>
    <n v="23"/>
    <b v="0"/>
    <n v="4"/>
    <n v="1"/>
    <n v="0.18"/>
    <s v="Weekday"/>
    <x v="2"/>
    <s v="Clear"/>
  </r>
  <r>
    <n v="596"/>
    <d v="2011-01-28T00:00:00"/>
    <n v="1"/>
    <n v="0"/>
    <n v="1"/>
    <n v="0"/>
    <b v="0"/>
    <n v="5"/>
    <n v="2"/>
    <n v="0.2"/>
    <s v="Weekday"/>
    <x v="0"/>
    <s v="cloudy"/>
  </r>
  <r>
    <n v="597"/>
    <d v="2011-01-28T00:00:00"/>
    <n v="1"/>
    <n v="0"/>
    <n v="1"/>
    <n v="1"/>
    <b v="0"/>
    <n v="5"/>
    <n v="2"/>
    <n v="0.2"/>
    <s v="Weekday"/>
    <x v="0"/>
    <s v="cloudy"/>
  </r>
  <r>
    <n v="598"/>
    <d v="2011-01-28T00:00:00"/>
    <n v="1"/>
    <n v="0"/>
    <n v="1"/>
    <n v="2"/>
    <b v="0"/>
    <n v="5"/>
    <n v="2"/>
    <n v="0.2"/>
    <s v="Weekday"/>
    <x v="0"/>
    <s v="cloudy"/>
  </r>
  <r>
    <n v="599"/>
    <d v="2011-01-28T00:00:00"/>
    <n v="1"/>
    <n v="0"/>
    <n v="1"/>
    <n v="3"/>
    <b v="0"/>
    <n v="5"/>
    <n v="2"/>
    <n v="0.2"/>
    <s v="Weekday"/>
    <x v="0"/>
    <s v="cloudy"/>
  </r>
  <r>
    <n v="600"/>
    <d v="2011-01-28T00:00:00"/>
    <n v="1"/>
    <n v="0"/>
    <n v="1"/>
    <n v="5"/>
    <b v="0"/>
    <n v="5"/>
    <n v="2"/>
    <n v="0.18"/>
    <s v="Weekday"/>
    <x v="0"/>
    <s v="cloudy"/>
  </r>
  <r>
    <n v="601"/>
    <d v="2011-01-28T00:00:00"/>
    <n v="1"/>
    <n v="0"/>
    <n v="1"/>
    <n v="6"/>
    <b v="0"/>
    <n v="5"/>
    <n v="2"/>
    <n v="0.18"/>
    <s v="Weekday"/>
    <x v="0"/>
    <s v="cloudy"/>
  </r>
  <r>
    <n v="602"/>
    <d v="2011-01-28T00:00:00"/>
    <n v="1"/>
    <n v="0"/>
    <n v="1"/>
    <n v="7"/>
    <b v="0"/>
    <n v="5"/>
    <n v="2"/>
    <n v="0.16"/>
    <s v="Weekday"/>
    <x v="0"/>
    <s v="cloudy"/>
  </r>
  <r>
    <n v="603"/>
    <d v="2011-01-28T00:00:00"/>
    <n v="1"/>
    <n v="0"/>
    <n v="1"/>
    <n v="8"/>
    <b v="0"/>
    <n v="5"/>
    <n v="2"/>
    <n v="0.16"/>
    <s v="Weekday"/>
    <x v="0"/>
    <s v="cloudy"/>
  </r>
  <r>
    <n v="604"/>
    <d v="2011-01-28T00:00:00"/>
    <n v="1"/>
    <n v="0"/>
    <n v="1"/>
    <n v="9"/>
    <b v="0"/>
    <n v="5"/>
    <n v="3"/>
    <n v="0.18"/>
    <s v="Weekday"/>
    <x v="0"/>
    <s v="Rain"/>
  </r>
  <r>
    <n v="605"/>
    <d v="2011-01-28T00:00:00"/>
    <n v="1"/>
    <n v="0"/>
    <n v="1"/>
    <n v="10"/>
    <b v="0"/>
    <n v="5"/>
    <n v="3"/>
    <n v="0.18"/>
    <s v="Weekday"/>
    <x v="0"/>
    <s v="Rain"/>
  </r>
  <r>
    <n v="606"/>
    <d v="2011-01-28T00:00:00"/>
    <n v="1"/>
    <n v="0"/>
    <n v="1"/>
    <n v="11"/>
    <b v="0"/>
    <n v="5"/>
    <n v="3"/>
    <n v="0.18"/>
    <s v="Weekday"/>
    <x v="0"/>
    <s v="Rain"/>
  </r>
  <r>
    <n v="607"/>
    <d v="2011-01-28T00:00:00"/>
    <n v="1"/>
    <n v="0"/>
    <n v="1"/>
    <n v="12"/>
    <b v="0"/>
    <n v="5"/>
    <n v="3"/>
    <n v="0.18"/>
    <s v="Weekday"/>
    <x v="1"/>
    <s v="Rain"/>
  </r>
  <r>
    <n v="608"/>
    <d v="2011-01-28T00:00:00"/>
    <n v="1"/>
    <n v="0"/>
    <n v="1"/>
    <n v="13"/>
    <b v="0"/>
    <n v="5"/>
    <n v="3"/>
    <n v="0.18"/>
    <s v="Weekday"/>
    <x v="1"/>
    <s v="Rain"/>
  </r>
  <r>
    <n v="609"/>
    <d v="2011-01-28T00:00:00"/>
    <n v="1"/>
    <n v="0"/>
    <n v="1"/>
    <n v="14"/>
    <b v="0"/>
    <n v="5"/>
    <n v="3"/>
    <n v="0.22"/>
    <s v="Weekday"/>
    <x v="1"/>
    <s v="Rain"/>
  </r>
  <r>
    <n v="610"/>
    <d v="2011-01-28T00:00:00"/>
    <n v="1"/>
    <n v="0"/>
    <n v="1"/>
    <n v="15"/>
    <b v="0"/>
    <n v="5"/>
    <n v="2"/>
    <n v="0.2"/>
    <s v="Weekday"/>
    <x v="1"/>
    <s v="cloud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x v="0"/>
    <x v="0"/>
    <x v="0"/>
    <x v="0"/>
  </r>
  <r>
    <n v="2"/>
    <d v="2011-01-01T00:00:00"/>
    <n v="1"/>
    <n v="0"/>
    <n v="1"/>
    <n v="1"/>
    <b v="0"/>
    <n v="6"/>
    <n v="1"/>
    <n v="0.22"/>
    <x v="0"/>
    <x v="0"/>
    <x v="0"/>
    <x v="1"/>
  </r>
  <r>
    <n v="3"/>
    <d v="2011-01-01T00:00:00"/>
    <n v="1"/>
    <n v="0"/>
    <n v="1"/>
    <n v="2"/>
    <b v="0"/>
    <n v="6"/>
    <n v="1"/>
    <n v="0.22"/>
    <x v="0"/>
    <x v="0"/>
    <x v="0"/>
    <x v="2"/>
  </r>
  <r>
    <n v="4"/>
    <d v="2011-01-01T00:00:00"/>
    <n v="1"/>
    <n v="0"/>
    <n v="1"/>
    <n v="3"/>
    <b v="0"/>
    <n v="6"/>
    <n v="1"/>
    <n v="0.24"/>
    <x v="0"/>
    <x v="0"/>
    <x v="0"/>
    <x v="3"/>
  </r>
  <r>
    <n v="5"/>
    <d v="2011-01-01T00:00:00"/>
    <n v="1"/>
    <n v="0"/>
    <n v="1"/>
    <n v="4"/>
    <b v="0"/>
    <n v="6"/>
    <n v="1"/>
    <n v="0.24"/>
    <x v="0"/>
    <x v="0"/>
    <x v="0"/>
    <x v="3"/>
  </r>
  <r>
    <n v="6"/>
    <d v="2011-01-01T00:00:00"/>
    <n v="1"/>
    <n v="0"/>
    <n v="1"/>
    <n v="5"/>
    <b v="0"/>
    <n v="6"/>
    <n v="2"/>
    <n v="0.24"/>
    <x v="0"/>
    <x v="0"/>
    <x v="1"/>
    <x v="4"/>
  </r>
  <r>
    <n v="7"/>
    <d v="2011-01-01T00:00:00"/>
    <n v="1"/>
    <n v="0"/>
    <n v="1"/>
    <n v="6"/>
    <b v="0"/>
    <n v="6"/>
    <n v="1"/>
    <n v="0.22"/>
    <x v="0"/>
    <x v="0"/>
    <x v="0"/>
    <x v="5"/>
  </r>
  <r>
    <n v="8"/>
    <d v="2011-01-01T00:00:00"/>
    <n v="1"/>
    <n v="0"/>
    <n v="1"/>
    <n v="7"/>
    <b v="0"/>
    <n v="6"/>
    <n v="1"/>
    <n v="0.2"/>
    <x v="0"/>
    <x v="0"/>
    <x v="0"/>
    <x v="6"/>
  </r>
  <r>
    <n v="9"/>
    <d v="2011-01-01T00:00:00"/>
    <n v="1"/>
    <n v="0"/>
    <n v="1"/>
    <n v="8"/>
    <b v="0"/>
    <n v="6"/>
    <n v="1"/>
    <n v="0.24"/>
    <x v="0"/>
    <x v="0"/>
    <x v="0"/>
    <x v="7"/>
  </r>
  <r>
    <n v="10"/>
    <d v="2011-01-01T00:00:00"/>
    <n v="1"/>
    <n v="0"/>
    <n v="1"/>
    <n v="9"/>
    <b v="0"/>
    <n v="6"/>
    <n v="1"/>
    <n v="0.32"/>
    <x v="0"/>
    <x v="0"/>
    <x v="0"/>
    <x v="8"/>
  </r>
  <r>
    <n v="11"/>
    <d v="2011-01-01T00:00:00"/>
    <n v="1"/>
    <n v="0"/>
    <n v="1"/>
    <n v="10"/>
    <b v="0"/>
    <n v="6"/>
    <n v="1"/>
    <n v="0.38"/>
    <x v="0"/>
    <x v="0"/>
    <x v="0"/>
    <x v="9"/>
  </r>
  <r>
    <n v="12"/>
    <d v="2011-01-01T00:00:00"/>
    <n v="1"/>
    <n v="0"/>
    <n v="1"/>
    <n v="11"/>
    <b v="0"/>
    <n v="6"/>
    <n v="1"/>
    <n v="0.36"/>
    <x v="0"/>
    <x v="0"/>
    <x v="0"/>
    <x v="10"/>
  </r>
  <r>
    <n v="13"/>
    <d v="2011-01-01T00:00:00"/>
    <n v="1"/>
    <n v="0"/>
    <n v="1"/>
    <n v="12"/>
    <b v="0"/>
    <n v="6"/>
    <n v="1"/>
    <n v="0.42"/>
    <x v="0"/>
    <x v="1"/>
    <x v="0"/>
    <x v="11"/>
  </r>
  <r>
    <n v="14"/>
    <d v="2011-01-01T00:00:00"/>
    <n v="1"/>
    <n v="0"/>
    <n v="1"/>
    <n v="13"/>
    <b v="0"/>
    <n v="6"/>
    <n v="2"/>
    <n v="0.46"/>
    <x v="0"/>
    <x v="1"/>
    <x v="1"/>
    <x v="12"/>
  </r>
  <r>
    <n v="15"/>
    <d v="2011-01-01T00:00:00"/>
    <n v="1"/>
    <n v="0"/>
    <n v="1"/>
    <n v="14"/>
    <b v="0"/>
    <n v="6"/>
    <n v="2"/>
    <n v="0.46"/>
    <x v="0"/>
    <x v="1"/>
    <x v="1"/>
    <x v="13"/>
  </r>
  <r>
    <n v="16"/>
    <d v="2011-01-01T00:00:00"/>
    <n v="1"/>
    <n v="0"/>
    <n v="1"/>
    <n v="15"/>
    <b v="0"/>
    <n v="6"/>
    <n v="2"/>
    <n v="0.44"/>
    <x v="0"/>
    <x v="1"/>
    <x v="1"/>
    <x v="14"/>
  </r>
  <r>
    <n v="17"/>
    <d v="2011-01-01T00:00:00"/>
    <n v="1"/>
    <n v="0"/>
    <n v="1"/>
    <n v="16"/>
    <b v="0"/>
    <n v="6"/>
    <n v="2"/>
    <n v="0.42"/>
    <x v="0"/>
    <x v="1"/>
    <x v="1"/>
    <x v="15"/>
  </r>
  <r>
    <n v="18"/>
    <d v="2011-01-01T00:00:00"/>
    <n v="1"/>
    <n v="0"/>
    <n v="1"/>
    <n v="17"/>
    <b v="0"/>
    <n v="6"/>
    <n v="2"/>
    <n v="0.44"/>
    <x v="0"/>
    <x v="1"/>
    <x v="1"/>
    <x v="16"/>
  </r>
  <r>
    <n v="19"/>
    <d v="2011-01-01T00:00:00"/>
    <n v="1"/>
    <n v="0"/>
    <n v="1"/>
    <n v="18"/>
    <b v="0"/>
    <n v="6"/>
    <n v="3"/>
    <n v="0.42"/>
    <x v="0"/>
    <x v="2"/>
    <x v="2"/>
    <x v="17"/>
  </r>
  <r>
    <n v="20"/>
    <d v="2011-01-01T00:00:00"/>
    <n v="1"/>
    <n v="0"/>
    <n v="1"/>
    <n v="19"/>
    <b v="0"/>
    <n v="6"/>
    <n v="3"/>
    <n v="0.42"/>
    <x v="0"/>
    <x v="2"/>
    <x v="2"/>
    <x v="8"/>
  </r>
  <r>
    <n v="21"/>
    <d v="2011-01-01T00:00:00"/>
    <n v="1"/>
    <n v="0"/>
    <n v="1"/>
    <n v="20"/>
    <b v="0"/>
    <n v="6"/>
    <n v="2"/>
    <n v="0.4"/>
    <x v="0"/>
    <x v="2"/>
    <x v="1"/>
    <x v="18"/>
  </r>
  <r>
    <n v="22"/>
    <d v="2011-01-01T00:00:00"/>
    <n v="1"/>
    <n v="0"/>
    <n v="1"/>
    <n v="21"/>
    <b v="0"/>
    <n v="6"/>
    <n v="2"/>
    <n v="0.4"/>
    <x v="0"/>
    <x v="2"/>
    <x v="1"/>
    <x v="19"/>
  </r>
  <r>
    <n v="23"/>
    <d v="2011-01-01T00:00:00"/>
    <n v="1"/>
    <n v="0"/>
    <n v="1"/>
    <n v="22"/>
    <b v="0"/>
    <n v="6"/>
    <n v="2"/>
    <n v="0.4"/>
    <x v="0"/>
    <x v="2"/>
    <x v="1"/>
    <x v="20"/>
  </r>
  <r>
    <n v="24"/>
    <d v="2011-01-01T00:00:00"/>
    <n v="1"/>
    <n v="0"/>
    <n v="1"/>
    <n v="23"/>
    <b v="0"/>
    <n v="6"/>
    <n v="2"/>
    <n v="0.46"/>
    <x v="0"/>
    <x v="2"/>
    <x v="1"/>
    <x v="21"/>
  </r>
  <r>
    <n v="25"/>
    <d v="2011-01-02T00:00:00"/>
    <n v="1"/>
    <n v="0"/>
    <n v="1"/>
    <n v="0"/>
    <b v="0"/>
    <n v="0"/>
    <n v="2"/>
    <n v="0.46"/>
    <x v="0"/>
    <x v="0"/>
    <x v="1"/>
    <x v="21"/>
  </r>
  <r>
    <n v="26"/>
    <d v="2011-01-02T00:00:00"/>
    <n v="1"/>
    <n v="0"/>
    <n v="1"/>
    <n v="1"/>
    <b v="0"/>
    <n v="0"/>
    <n v="2"/>
    <n v="0.44"/>
    <x v="0"/>
    <x v="0"/>
    <x v="1"/>
    <x v="22"/>
  </r>
  <r>
    <n v="27"/>
    <d v="2011-01-02T00:00:00"/>
    <n v="1"/>
    <n v="0"/>
    <n v="1"/>
    <n v="2"/>
    <b v="0"/>
    <n v="0"/>
    <n v="2"/>
    <n v="0.42"/>
    <x v="0"/>
    <x v="0"/>
    <x v="1"/>
    <x v="23"/>
  </r>
  <r>
    <n v="28"/>
    <d v="2011-01-02T00:00:00"/>
    <n v="1"/>
    <n v="0"/>
    <n v="1"/>
    <n v="3"/>
    <b v="0"/>
    <n v="0"/>
    <n v="2"/>
    <n v="0.46"/>
    <x v="0"/>
    <x v="0"/>
    <x v="1"/>
    <x v="5"/>
  </r>
  <r>
    <n v="29"/>
    <d v="2011-01-02T00:00:00"/>
    <n v="1"/>
    <n v="0"/>
    <n v="1"/>
    <n v="4"/>
    <b v="0"/>
    <n v="0"/>
    <n v="2"/>
    <n v="0.46"/>
    <x v="0"/>
    <x v="0"/>
    <x v="1"/>
    <x v="4"/>
  </r>
  <r>
    <n v="30"/>
    <d v="2011-01-02T00:00:00"/>
    <n v="1"/>
    <n v="0"/>
    <n v="1"/>
    <n v="6"/>
    <b v="0"/>
    <n v="0"/>
    <n v="3"/>
    <n v="0.42"/>
    <x v="0"/>
    <x v="0"/>
    <x v="2"/>
    <x v="3"/>
  </r>
  <r>
    <n v="31"/>
    <d v="2011-01-02T00:00:00"/>
    <n v="1"/>
    <n v="0"/>
    <n v="1"/>
    <n v="7"/>
    <b v="0"/>
    <n v="0"/>
    <n v="2"/>
    <n v="0.4"/>
    <x v="0"/>
    <x v="0"/>
    <x v="1"/>
    <x v="6"/>
  </r>
  <r>
    <n v="32"/>
    <d v="2011-01-02T00:00:00"/>
    <n v="1"/>
    <n v="0"/>
    <n v="1"/>
    <n v="8"/>
    <b v="0"/>
    <n v="0"/>
    <n v="3"/>
    <n v="0.4"/>
    <x v="0"/>
    <x v="0"/>
    <x v="2"/>
    <x v="24"/>
  </r>
  <r>
    <n v="33"/>
    <d v="2011-01-02T00:00:00"/>
    <n v="1"/>
    <n v="0"/>
    <n v="1"/>
    <n v="9"/>
    <b v="0"/>
    <n v="0"/>
    <n v="2"/>
    <n v="0.38"/>
    <x v="0"/>
    <x v="0"/>
    <x v="1"/>
    <x v="25"/>
  </r>
  <r>
    <n v="34"/>
    <d v="2011-01-02T00:00:00"/>
    <n v="1"/>
    <n v="0"/>
    <n v="1"/>
    <n v="10"/>
    <b v="0"/>
    <n v="0"/>
    <n v="2"/>
    <n v="0.36"/>
    <x v="0"/>
    <x v="0"/>
    <x v="1"/>
    <x v="26"/>
  </r>
  <r>
    <n v="35"/>
    <d v="2011-01-02T00:00:00"/>
    <n v="1"/>
    <n v="0"/>
    <n v="1"/>
    <n v="11"/>
    <b v="0"/>
    <n v="0"/>
    <n v="2"/>
    <n v="0.36"/>
    <x v="0"/>
    <x v="0"/>
    <x v="1"/>
    <x v="14"/>
  </r>
  <r>
    <n v="36"/>
    <d v="2011-01-02T00:00:00"/>
    <n v="1"/>
    <n v="0"/>
    <n v="1"/>
    <n v="12"/>
    <b v="0"/>
    <n v="0"/>
    <n v="2"/>
    <n v="0.36"/>
    <x v="0"/>
    <x v="1"/>
    <x v="1"/>
    <x v="27"/>
  </r>
  <r>
    <n v="37"/>
    <d v="2011-01-02T00:00:00"/>
    <n v="1"/>
    <n v="0"/>
    <n v="1"/>
    <n v="13"/>
    <b v="0"/>
    <n v="0"/>
    <n v="2"/>
    <n v="0.36"/>
    <x v="0"/>
    <x v="1"/>
    <x v="1"/>
    <x v="28"/>
  </r>
  <r>
    <n v="38"/>
    <d v="2011-01-02T00:00:00"/>
    <n v="1"/>
    <n v="0"/>
    <n v="1"/>
    <n v="14"/>
    <b v="0"/>
    <n v="0"/>
    <n v="3"/>
    <n v="0.36"/>
    <x v="0"/>
    <x v="1"/>
    <x v="2"/>
    <x v="29"/>
  </r>
  <r>
    <n v="39"/>
    <d v="2011-01-02T00:00:00"/>
    <n v="1"/>
    <n v="0"/>
    <n v="1"/>
    <n v="15"/>
    <b v="0"/>
    <n v="0"/>
    <n v="3"/>
    <n v="0.34"/>
    <x v="0"/>
    <x v="1"/>
    <x v="2"/>
    <x v="30"/>
  </r>
  <r>
    <n v="40"/>
    <d v="2011-01-02T00:00:00"/>
    <n v="1"/>
    <n v="0"/>
    <n v="1"/>
    <n v="16"/>
    <b v="0"/>
    <n v="0"/>
    <n v="3"/>
    <n v="0.34"/>
    <x v="0"/>
    <x v="1"/>
    <x v="2"/>
    <x v="31"/>
  </r>
  <r>
    <n v="41"/>
    <d v="2011-01-02T00:00:00"/>
    <n v="1"/>
    <n v="0"/>
    <n v="1"/>
    <n v="17"/>
    <b v="0"/>
    <n v="0"/>
    <n v="1"/>
    <n v="0.34"/>
    <x v="0"/>
    <x v="1"/>
    <x v="0"/>
    <x v="25"/>
  </r>
  <r>
    <n v="42"/>
    <d v="2011-01-02T00:00:00"/>
    <n v="1"/>
    <n v="0"/>
    <n v="1"/>
    <n v="18"/>
    <b v="0"/>
    <n v="0"/>
    <n v="2"/>
    <n v="0.36"/>
    <x v="0"/>
    <x v="2"/>
    <x v="1"/>
    <x v="32"/>
  </r>
  <r>
    <n v="43"/>
    <d v="2011-01-02T00:00:00"/>
    <n v="1"/>
    <n v="0"/>
    <n v="1"/>
    <n v="19"/>
    <b v="0"/>
    <n v="0"/>
    <n v="1"/>
    <n v="0.32"/>
    <x v="0"/>
    <x v="2"/>
    <x v="0"/>
    <x v="33"/>
  </r>
  <r>
    <n v="44"/>
    <d v="2011-01-02T00:00:00"/>
    <n v="1"/>
    <n v="0"/>
    <n v="1"/>
    <n v="20"/>
    <b v="0"/>
    <n v="0"/>
    <n v="1"/>
    <n v="0.3"/>
    <x v="0"/>
    <x v="2"/>
    <x v="0"/>
    <x v="34"/>
  </r>
  <r>
    <n v="45"/>
    <d v="2011-01-02T00:00:00"/>
    <n v="1"/>
    <n v="0"/>
    <n v="1"/>
    <n v="21"/>
    <b v="0"/>
    <n v="0"/>
    <n v="1"/>
    <n v="0.26"/>
    <x v="0"/>
    <x v="2"/>
    <x v="0"/>
    <x v="22"/>
  </r>
  <r>
    <n v="46"/>
    <d v="2011-01-02T00:00:00"/>
    <n v="1"/>
    <n v="0"/>
    <n v="1"/>
    <n v="22"/>
    <b v="0"/>
    <n v="0"/>
    <n v="1"/>
    <n v="0.24"/>
    <x v="0"/>
    <x v="2"/>
    <x v="0"/>
    <x v="6"/>
  </r>
  <r>
    <n v="47"/>
    <d v="2011-01-02T00:00:00"/>
    <n v="1"/>
    <n v="0"/>
    <n v="1"/>
    <n v="23"/>
    <b v="0"/>
    <n v="0"/>
    <n v="1"/>
    <n v="0.22"/>
    <x v="0"/>
    <x v="2"/>
    <x v="0"/>
    <x v="35"/>
  </r>
  <r>
    <n v="48"/>
    <d v="2011-01-03T00:00:00"/>
    <n v="1"/>
    <n v="0"/>
    <n v="1"/>
    <n v="0"/>
    <b v="0"/>
    <n v="1"/>
    <n v="1"/>
    <n v="0.22"/>
    <x v="1"/>
    <x v="0"/>
    <x v="0"/>
    <x v="4"/>
  </r>
  <r>
    <n v="49"/>
    <d v="2011-01-03T00:00:00"/>
    <n v="1"/>
    <n v="0"/>
    <n v="1"/>
    <n v="1"/>
    <b v="0"/>
    <n v="1"/>
    <n v="1"/>
    <n v="0.2"/>
    <x v="1"/>
    <x v="0"/>
    <x v="0"/>
    <x v="3"/>
  </r>
  <r>
    <n v="50"/>
    <d v="2011-01-03T00:00:00"/>
    <n v="1"/>
    <n v="0"/>
    <n v="1"/>
    <n v="4"/>
    <b v="0"/>
    <n v="1"/>
    <n v="1"/>
    <n v="0.16"/>
    <x v="1"/>
    <x v="0"/>
    <x v="0"/>
    <x v="5"/>
  </r>
  <r>
    <n v="51"/>
    <d v="2011-01-03T00:00:00"/>
    <n v="1"/>
    <n v="0"/>
    <n v="1"/>
    <n v="5"/>
    <b v="0"/>
    <n v="1"/>
    <n v="1"/>
    <n v="0.16"/>
    <x v="1"/>
    <x v="0"/>
    <x v="0"/>
    <x v="32"/>
  </r>
  <r>
    <n v="52"/>
    <d v="2011-01-03T00:00:00"/>
    <n v="1"/>
    <n v="0"/>
    <n v="1"/>
    <n v="6"/>
    <b v="0"/>
    <n v="1"/>
    <n v="1"/>
    <n v="0.14000000000000001"/>
    <x v="1"/>
    <x v="0"/>
    <x v="0"/>
    <x v="36"/>
  </r>
  <r>
    <n v="53"/>
    <d v="2011-01-03T00:00:00"/>
    <n v="1"/>
    <n v="0"/>
    <n v="1"/>
    <n v="7"/>
    <b v="0"/>
    <n v="1"/>
    <n v="1"/>
    <n v="0.14000000000000001"/>
    <x v="1"/>
    <x v="0"/>
    <x v="0"/>
    <x v="37"/>
  </r>
  <r>
    <n v="54"/>
    <d v="2011-01-03T00:00:00"/>
    <n v="1"/>
    <n v="0"/>
    <n v="1"/>
    <n v="8"/>
    <b v="0"/>
    <n v="1"/>
    <n v="1"/>
    <n v="0.14000000000000001"/>
    <x v="1"/>
    <x v="0"/>
    <x v="0"/>
    <x v="38"/>
  </r>
  <r>
    <n v="55"/>
    <d v="2011-01-03T00:00:00"/>
    <n v="1"/>
    <n v="0"/>
    <n v="1"/>
    <n v="9"/>
    <b v="0"/>
    <n v="1"/>
    <n v="1"/>
    <n v="0.16"/>
    <x v="1"/>
    <x v="0"/>
    <x v="0"/>
    <x v="39"/>
  </r>
  <r>
    <n v="56"/>
    <d v="2011-01-03T00:00:00"/>
    <n v="1"/>
    <n v="0"/>
    <n v="1"/>
    <n v="10"/>
    <b v="0"/>
    <n v="1"/>
    <n v="1"/>
    <n v="0.18"/>
    <x v="1"/>
    <x v="0"/>
    <x v="0"/>
    <x v="40"/>
  </r>
  <r>
    <n v="57"/>
    <d v="2011-01-03T00:00:00"/>
    <n v="1"/>
    <n v="0"/>
    <n v="1"/>
    <n v="11"/>
    <b v="0"/>
    <n v="1"/>
    <n v="1"/>
    <n v="0.2"/>
    <x v="1"/>
    <x v="0"/>
    <x v="0"/>
    <x v="41"/>
  </r>
  <r>
    <n v="58"/>
    <d v="2011-01-03T00:00:00"/>
    <n v="1"/>
    <n v="0"/>
    <n v="1"/>
    <n v="12"/>
    <b v="0"/>
    <n v="1"/>
    <n v="1"/>
    <n v="0.22"/>
    <x v="1"/>
    <x v="1"/>
    <x v="0"/>
    <x v="41"/>
  </r>
  <r>
    <n v="59"/>
    <d v="2011-01-03T00:00:00"/>
    <n v="1"/>
    <n v="0"/>
    <n v="1"/>
    <n v="13"/>
    <b v="0"/>
    <n v="1"/>
    <n v="1"/>
    <n v="0.24"/>
    <x v="1"/>
    <x v="1"/>
    <x v="0"/>
    <x v="42"/>
  </r>
  <r>
    <n v="60"/>
    <d v="2011-01-03T00:00:00"/>
    <n v="1"/>
    <n v="0"/>
    <n v="1"/>
    <n v="14"/>
    <b v="0"/>
    <n v="1"/>
    <n v="1"/>
    <n v="0.26"/>
    <x v="1"/>
    <x v="1"/>
    <x v="0"/>
    <x v="43"/>
  </r>
  <r>
    <n v="61"/>
    <d v="2011-01-03T00:00:00"/>
    <n v="1"/>
    <n v="0"/>
    <n v="1"/>
    <n v="15"/>
    <b v="0"/>
    <n v="1"/>
    <n v="1"/>
    <n v="0.26"/>
    <x v="1"/>
    <x v="1"/>
    <x v="0"/>
    <x v="30"/>
  </r>
  <r>
    <n v="62"/>
    <d v="2011-01-03T00:00:00"/>
    <n v="1"/>
    <n v="0"/>
    <n v="1"/>
    <n v="16"/>
    <b v="0"/>
    <n v="1"/>
    <n v="1"/>
    <n v="0.26"/>
    <x v="1"/>
    <x v="1"/>
    <x v="0"/>
    <x v="44"/>
  </r>
  <r>
    <n v="63"/>
    <d v="2011-01-03T00:00:00"/>
    <n v="1"/>
    <n v="0"/>
    <n v="1"/>
    <n v="17"/>
    <b v="0"/>
    <n v="1"/>
    <n v="1"/>
    <n v="0.24"/>
    <x v="1"/>
    <x v="1"/>
    <x v="0"/>
    <x v="44"/>
  </r>
  <r>
    <n v="64"/>
    <d v="2011-01-03T00:00:00"/>
    <n v="1"/>
    <n v="0"/>
    <n v="1"/>
    <n v="18"/>
    <b v="0"/>
    <n v="1"/>
    <n v="1"/>
    <n v="0.24"/>
    <x v="1"/>
    <x v="2"/>
    <x v="0"/>
    <x v="13"/>
  </r>
  <r>
    <n v="65"/>
    <d v="2011-01-03T00:00:00"/>
    <n v="1"/>
    <n v="0"/>
    <n v="1"/>
    <n v="19"/>
    <b v="0"/>
    <n v="1"/>
    <n v="1"/>
    <n v="0.2"/>
    <x v="1"/>
    <x v="2"/>
    <x v="0"/>
    <x v="45"/>
  </r>
  <r>
    <n v="66"/>
    <d v="2011-01-03T00:00:00"/>
    <n v="1"/>
    <n v="0"/>
    <n v="1"/>
    <n v="20"/>
    <b v="0"/>
    <n v="1"/>
    <n v="1"/>
    <n v="0.2"/>
    <x v="1"/>
    <x v="2"/>
    <x v="0"/>
    <x v="45"/>
  </r>
  <r>
    <n v="67"/>
    <d v="2011-01-03T00:00:00"/>
    <n v="1"/>
    <n v="0"/>
    <n v="1"/>
    <n v="21"/>
    <b v="0"/>
    <n v="1"/>
    <n v="1"/>
    <n v="0.18"/>
    <x v="1"/>
    <x v="2"/>
    <x v="0"/>
    <x v="24"/>
  </r>
  <r>
    <n v="68"/>
    <d v="2011-01-03T00:00:00"/>
    <n v="1"/>
    <n v="0"/>
    <n v="1"/>
    <n v="22"/>
    <b v="0"/>
    <n v="1"/>
    <n v="1"/>
    <n v="0.14000000000000001"/>
    <x v="1"/>
    <x v="2"/>
    <x v="0"/>
    <x v="46"/>
  </r>
  <r>
    <n v="69"/>
    <d v="2011-01-03T00:00:00"/>
    <n v="1"/>
    <n v="0"/>
    <n v="1"/>
    <n v="23"/>
    <b v="0"/>
    <n v="1"/>
    <n v="1"/>
    <n v="0.18"/>
    <x v="1"/>
    <x v="2"/>
    <x v="0"/>
    <x v="35"/>
  </r>
  <r>
    <n v="70"/>
    <d v="2011-01-04T00:00:00"/>
    <n v="1"/>
    <n v="0"/>
    <n v="1"/>
    <n v="0"/>
    <b v="0"/>
    <n v="2"/>
    <n v="1"/>
    <n v="0.16"/>
    <x v="1"/>
    <x v="0"/>
    <x v="0"/>
    <x v="4"/>
  </r>
  <r>
    <n v="71"/>
    <d v="2011-01-04T00:00:00"/>
    <n v="1"/>
    <n v="0"/>
    <n v="1"/>
    <n v="1"/>
    <b v="0"/>
    <n v="2"/>
    <n v="1"/>
    <n v="0.16"/>
    <x v="1"/>
    <x v="0"/>
    <x v="0"/>
    <x v="3"/>
  </r>
  <r>
    <n v="72"/>
    <d v="2011-01-04T00:00:00"/>
    <n v="1"/>
    <n v="0"/>
    <n v="1"/>
    <n v="2"/>
    <b v="0"/>
    <n v="2"/>
    <n v="1"/>
    <n v="0.14000000000000001"/>
    <x v="1"/>
    <x v="0"/>
    <x v="0"/>
    <x v="4"/>
  </r>
  <r>
    <n v="73"/>
    <d v="2011-01-04T00:00:00"/>
    <n v="1"/>
    <n v="0"/>
    <n v="1"/>
    <n v="4"/>
    <b v="0"/>
    <n v="2"/>
    <n v="1"/>
    <n v="0.14000000000000001"/>
    <x v="1"/>
    <x v="0"/>
    <x v="0"/>
    <x v="47"/>
  </r>
  <r>
    <n v="74"/>
    <d v="2011-01-04T00:00:00"/>
    <n v="1"/>
    <n v="0"/>
    <n v="1"/>
    <n v="5"/>
    <b v="0"/>
    <n v="2"/>
    <n v="1"/>
    <n v="0.12"/>
    <x v="1"/>
    <x v="0"/>
    <x v="0"/>
    <x v="8"/>
  </r>
  <r>
    <n v="75"/>
    <d v="2011-01-04T00:00:00"/>
    <n v="1"/>
    <n v="0"/>
    <n v="1"/>
    <n v="6"/>
    <b v="0"/>
    <n v="2"/>
    <n v="1"/>
    <n v="0.12"/>
    <x v="1"/>
    <x v="0"/>
    <x v="0"/>
    <x v="11"/>
  </r>
  <r>
    <n v="76"/>
    <d v="2011-01-04T00:00:00"/>
    <n v="1"/>
    <n v="0"/>
    <n v="1"/>
    <n v="7"/>
    <b v="0"/>
    <n v="2"/>
    <n v="1"/>
    <n v="0.12"/>
    <x v="1"/>
    <x v="0"/>
    <x v="0"/>
    <x v="48"/>
  </r>
  <r>
    <n v="77"/>
    <d v="2011-01-04T00:00:00"/>
    <n v="1"/>
    <n v="0"/>
    <n v="1"/>
    <n v="8"/>
    <b v="0"/>
    <n v="2"/>
    <n v="1"/>
    <n v="0.14000000000000001"/>
    <x v="1"/>
    <x v="0"/>
    <x v="0"/>
    <x v="49"/>
  </r>
  <r>
    <n v="78"/>
    <d v="2011-01-04T00:00:00"/>
    <n v="1"/>
    <n v="0"/>
    <n v="1"/>
    <n v="9"/>
    <b v="0"/>
    <n v="2"/>
    <n v="1"/>
    <n v="0.16"/>
    <x v="1"/>
    <x v="0"/>
    <x v="0"/>
    <x v="50"/>
  </r>
  <r>
    <n v="79"/>
    <d v="2011-01-04T00:00:00"/>
    <n v="1"/>
    <n v="0"/>
    <n v="1"/>
    <n v="10"/>
    <b v="0"/>
    <n v="2"/>
    <n v="2"/>
    <n v="0.16"/>
    <x v="1"/>
    <x v="0"/>
    <x v="1"/>
    <x v="51"/>
  </r>
  <r>
    <n v="80"/>
    <d v="2011-01-04T00:00:00"/>
    <n v="1"/>
    <n v="0"/>
    <n v="1"/>
    <n v="11"/>
    <b v="0"/>
    <n v="2"/>
    <n v="1"/>
    <n v="0.22"/>
    <x v="1"/>
    <x v="0"/>
    <x v="0"/>
    <x v="52"/>
  </r>
  <r>
    <n v="81"/>
    <d v="2011-01-04T00:00:00"/>
    <n v="1"/>
    <n v="0"/>
    <n v="1"/>
    <n v="12"/>
    <b v="0"/>
    <n v="2"/>
    <n v="1"/>
    <n v="0.22"/>
    <x v="1"/>
    <x v="1"/>
    <x v="0"/>
    <x v="53"/>
  </r>
  <r>
    <n v="82"/>
    <d v="2011-01-04T00:00:00"/>
    <n v="1"/>
    <n v="0"/>
    <n v="1"/>
    <n v="13"/>
    <b v="0"/>
    <n v="2"/>
    <n v="1"/>
    <n v="0.24"/>
    <x v="1"/>
    <x v="1"/>
    <x v="0"/>
    <x v="54"/>
  </r>
  <r>
    <n v="83"/>
    <d v="2011-01-04T00:00:00"/>
    <n v="1"/>
    <n v="0"/>
    <n v="1"/>
    <n v="14"/>
    <b v="0"/>
    <n v="2"/>
    <n v="1"/>
    <n v="0.26"/>
    <x v="1"/>
    <x v="1"/>
    <x v="0"/>
    <x v="31"/>
  </r>
  <r>
    <n v="84"/>
    <d v="2011-01-04T00:00:00"/>
    <n v="1"/>
    <n v="0"/>
    <n v="1"/>
    <n v="15"/>
    <b v="0"/>
    <n v="2"/>
    <n v="1"/>
    <n v="0.28000000000000003"/>
    <x v="1"/>
    <x v="1"/>
    <x v="0"/>
    <x v="55"/>
  </r>
  <r>
    <n v="85"/>
    <d v="2011-01-04T00:00:00"/>
    <n v="1"/>
    <n v="0"/>
    <n v="1"/>
    <n v="16"/>
    <b v="0"/>
    <n v="2"/>
    <n v="1"/>
    <n v="0.3"/>
    <x v="1"/>
    <x v="1"/>
    <x v="0"/>
    <x v="56"/>
  </r>
  <r>
    <n v="86"/>
    <d v="2011-01-04T00:00:00"/>
    <n v="1"/>
    <n v="0"/>
    <n v="1"/>
    <n v="17"/>
    <b v="0"/>
    <n v="2"/>
    <n v="1"/>
    <n v="0.28000000000000003"/>
    <x v="1"/>
    <x v="1"/>
    <x v="0"/>
    <x v="57"/>
  </r>
  <r>
    <n v="87"/>
    <d v="2011-01-04T00:00:00"/>
    <n v="1"/>
    <n v="0"/>
    <n v="1"/>
    <n v="18"/>
    <b v="0"/>
    <n v="2"/>
    <n v="1"/>
    <n v="0.26"/>
    <x v="1"/>
    <x v="2"/>
    <x v="0"/>
    <x v="58"/>
  </r>
  <r>
    <n v="88"/>
    <d v="2011-01-04T00:00:00"/>
    <n v="1"/>
    <n v="0"/>
    <n v="1"/>
    <n v="19"/>
    <b v="0"/>
    <n v="2"/>
    <n v="1"/>
    <n v="0.24"/>
    <x v="1"/>
    <x v="2"/>
    <x v="0"/>
    <x v="59"/>
  </r>
  <r>
    <n v="89"/>
    <d v="2011-01-04T00:00:00"/>
    <n v="1"/>
    <n v="0"/>
    <n v="1"/>
    <n v="20"/>
    <b v="0"/>
    <n v="2"/>
    <n v="1"/>
    <n v="0.24"/>
    <x v="1"/>
    <x v="2"/>
    <x v="0"/>
    <x v="60"/>
  </r>
  <r>
    <n v="90"/>
    <d v="2011-01-04T00:00:00"/>
    <n v="1"/>
    <n v="0"/>
    <n v="1"/>
    <n v="21"/>
    <b v="0"/>
    <n v="2"/>
    <n v="1"/>
    <n v="0.22"/>
    <x v="1"/>
    <x v="2"/>
    <x v="0"/>
    <x v="16"/>
  </r>
  <r>
    <n v="91"/>
    <d v="2011-01-04T00:00:00"/>
    <n v="1"/>
    <n v="0"/>
    <n v="1"/>
    <n v="22"/>
    <b v="0"/>
    <n v="2"/>
    <n v="1"/>
    <n v="0.22"/>
    <x v="1"/>
    <x v="2"/>
    <x v="0"/>
    <x v="61"/>
  </r>
  <r>
    <n v="92"/>
    <d v="2011-01-04T00:00:00"/>
    <n v="1"/>
    <n v="0"/>
    <n v="1"/>
    <n v="23"/>
    <b v="0"/>
    <n v="2"/>
    <n v="1"/>
    <n v="0.2"/>
    <x v="1"/>
    <x v="2"/>
    <x v="0"/>
    <x v="23"/>
  </r>
  <r>
    <n v="93"/>
    <d v="2011-01-05T00:00:00"/>
    <n v="1"/>
    <n v="0"/>
    <n v="1"/>
    <n v="0"/>
    <b v="0"/>
    <n v="3"/>
    <n v="1"/>
    <n v="0.2"/>
    <x v="1"/>
    <x v="0"/>
    <x v="0"/>
    <x v="23"/>
  </r>
  <r>
    <n v="94"/>
    <d v="2011-01-05T00:00:00"/>
    <n v="1"/>
    <n v="0"/>
    <n v="1"/>
    <n v="1"/>
    <b v="0"/>
    <n v="3"/>
    <n v="1"/>
    <n v="0.16"/>
    <x v="1"/>
    <x v="0"/>
    <x v="0"/>
    <x v="4"/>
  </r>
  <r>
    <n v="95"/>
    <d v="2011-01-05T00:00:00"/>
    <n v="1"/>
    <n v="0"/>
    <n v="1"/>
    <n v="2"/>
    <b v="0"/>
    <n v="3"/>
    <n v="1"/>
    <n v="0.16"/>
    <x v="1"/>
    <x v="0"/>
    <x v="0"/>
    <x v="4"/>
  </r>
  <r>
    <n v="96"/>
    <d v="2011-01-05T00:00:00"/>
    <n v="1"/>
    <n v="0"/>
    <n v="1"/>
    <n v="4"/>
    <b v="0"/>
    <n v="3"/>
    <n v="1"/>
    <n v="0.24"/>
    <x v="1"/>
    <x v="0"/>
    <x v="0"/>
    <x v="5"/>
  </r>
  <r>
    <n v="97"/>
    <d v="2011-01-05T00:00:00"/>
    <n v="1"/>
    <n v="0"/>
    <n v="1"/>
    <n v="5"/>
    <b v="0"/>
    <n v="3"/>
    <n v="1"/>
    <n v="0.22"/>
    <x v="1"/>
    <x v="0"/>
    <x v="0"/>
    <x v="62"/>
  </r>
  <r>
    <n v="98"/>
    <d v="2011-01-05T00:00:00"/>
    <n v="1"/>
    <n v="0"/>
    <n v="1"/>
    <n v="6"/>
    <b v="0"/>
    <n v="3"/>
    <n v="1"/>
    <n v="0.2"/>
    <x v="1"/>
    <x v="0"/>
    <x v="0"/>
    <x v="38"/>
  </r>
  <r>
    <n v="99"/>
    <d v="2011-01-05T00:00:00"/>
    <n v="1"/>
    <n v="0"/>
    <n v="1"/>
    <n v="7"/>
    <b v="0"/>
    <n v="3"/>
    <n v="1"/>
    <n v="0.18"/>
    <x v="1"/>
    <x v="0"/>
    <x v="0"/>
    <x v="63"/>
  </r>
  <r>
    <n v="100"/>
    <d v="2011-01-05T00:00:00"/>
    <n v="1"/>
    <n v="0"/>
    <n v="1"/>
    <n v="8"/>
    <b v="0"/>
    <n v="3"/>
    <n v="1"/>
    <n v="0.2"/>
    <x v="1"/>
    <x v="0"/>
    <x v="0"/>
    <x v="64"/>
  </r>
  <r>
    <n v="101"/>
    <d v="2011-01-05T00:00:00"/>
    <n v="1"/>
    <n v="0"/>
    <n v="1"/>
    <n v="9"/>
    <b v="0"/>
    <n v="3"/>
    <n v="1"/>
    <n v="0.22"/>
    <x v="1"/>
    <x v="0"/>
    <x v="0"/>
    <x v="51"/>
  </r>
  <r>
    <n v="102"/>
    <d v="2011-01-05T00:00:00"/>
    <n v="1"/>
    <n v="0"/>
    <n v="1"/>
    <n v="10"/>
    <b v="0"/>
    <n v="3"/>
    <n v="1"/>
    <n v="0.22"/>
    <x v="1"/>
    <x v="0"/>
    <x v="0"/>
    <x v="65"/>
  </r>
  <r>
    <n v="103"/>
    <d v="2011-01-05T00:00:00"/>
    <n v="1"/>
    <n v="0"/>
    <n v="1"/>
    <n v="11"/>
    <b v="0"/>
    <n v="3"/>
    <n v="1"/>
    <n v="0.26"/>
    <x v="1"/>
    <x v="0"/>
    <x v="0"/>
    <x v="66"/>
  </r>
  <r>
    <n v="104"/>
    <d v="2011-01-05T00:00:00"/>
    <n v="1"/>
    <n v="0"/>
    <n v="1"/>
    <n v="12"/>
    <b v="0"/>
    <n v="3"/>
    <n v="1"/>
    <n v="0.26"/>
    <x v="1"/>
    <x v="1"/>
    <x v="0"/>
    <x v="67"/>
  </r>
  <r>
    <n v="105"/>
    <d v="2011-01-05T00:00:00"/>
    <n v="1"/>
    <n v="0"/>
    <n v="1"/>
    <n v="13"/>
    <b v="0"/>
    <n v="3"/>
    <n v="1"/>
    <n v="0.28000000000000003"/>
    <x v="1"/>
    <x v="1"/>
    <x v="0"/>
    <x v="68"/>
  </r>
  <r>
    <n v="106"/>
    <d v="2011-01-05T00:00:00"/>
    <n v="1"/>
    <n v="0"/>
    <n v="1"/>
    <n v="14"/>
    <b v="0"/>
    <n v="3"/>
    <n v="1"/>
    <n v="0.3"/>
    <x v="1"/>
    <x v="1"/>
    <x v="0"/>
    <x v="68"/>
  </r>
  <r>
    <n v="107"/>
    <d v="2011-01-05T00:00:00"/>
    <n v="1"/>
    <n v="0"/>
    <n v="1"/>
    <n v="15"/>
    <b v="0"/>
    <n v="3"/>
    <n v="1"/>
    <n v="0.3"/>
    <x v="1"/>
    <x v="1"/>
    <x v="0"/>
    <x v="69"/>
  </r>
  <r>
    <n v="108"/>
    <d v="2011-01-05T00:00:00"/>
    <n v="1"/>
    <n v="0"/>
    <n v="1"/>
    <n v="16"/>
    <b v="0"/>
    <n v="3"/>
    <n v="1"/>
    <n v="0.3"/>
    <x v="1"/>
    <x v="1"/>
    <x v="0"/>
    <x v="70"/>
  </r>
  <r>
    <n v="109"/>
    <d v="2011-01-05T00:00:00"/>
    <n v="1"/>
    <n v="0"/>
    <n v="1"/>
    <n v="17"/>
    <b v="0"/>
    <n v="3"/>
    <n v="1"/>
    <n v="0.24"/>
    <x v="1"/>
    <x v="1"/>
    <x v="0"/>
    <x v="71"/>
  </r>
  <r>
    <n v="110"/>
    <d v="2011-01-05T00:00:00"/>
    <n v="1"/>
    <n v="0"/>
    <n v="1"/>
    <n v="18"/>
    <b v="0"/>
    <n v="3"/>
    <n v="1"/>
    <n v="0.24"/>
    <x v="1"/>
    <x v="2"/>
    <x v="0"/>
    <x v="72"/>
  </r>
  <r>
    <n v="111"/>
    <d v="2011-01-05T00:00:00"/>
    <n v="1"/>
    <n v="0"/>
    <n v="1"/>
    <n v="19"/>
    <b v="0"/>
    <n v="3"/>
    <n v="1"/>
    <n v="0.24"/>
    <x v="1"/>
    <x v="2"/>
    <x v="0"/>
    <x v="69"/>
  </r>
  <r>
    <n v="112"/>
    <d v="2011-01-05T00:00:00"/>
    <n v="1"/>
    <n v="0"/>
    <n v="1"/>
    <n v="20"/>
    <b v="0"/>
    <n v="3"/>
    <n v="1"/>
    <n v="0.22"/>
    <x v="1"/>
    <x v="2"/>
    <x v="0"/>
    <x v="73"/>
  </r>
  <r>
    <n v="113"/>
    <d v="2011-01-05T00:00:00"/>
    <n v="1"/>
    <n v="0"/>
    <n v="1"/>
    <n v="21"/>
    <b v="0"/>
    <n v="3"/>
    <n v="1"/>
    <n v="0.2"/>
    <x v="1"/>
    <x v="2"/>
    <x v="0"/>
    <x v="50"/>
  </r>
  <r>
    <n v="114"/>
    <d v="2011-01-05T00:00:00"/>
    <n v="1"/>
    <n v="0"/>
    <n v="1"/>
    <n v="22"/>
    <b v="0"/>
    <n v="3"/>
    <n v="1"/>
    <n v="0.18"/>
    <x v="1"/>
    <x v="2"/>
    <x v="0"/>
    <x v="74"/>
  </r>
  <r>
    <n v="115"/>
    <d v="2011-01-05T00:00:00"/>
    <n v="1"/>
    <n v="0"/>
    <n v="1"/>
    <n v="23"/>
    <b v="0"/>
    <n v="3"/>
    <n v="1"/>
    <n v="0.2"/>
    <x v="1"/>
    <x v="2"/>
    <x v="0"/>
    <x v="61"/>
  </r>
  <r>
    <n v="116"/>
    <d v="2011-01-06T00:00:00"/>
    <n v="1"/>
    <n v="0"/>
    <n v="1"/>
    <n v="0"/>
    <b v="0"/>
    <n v="4"/>
    <n v="1"/>
    <n v="0.18"/>
    <x v="1"/>
    <x v="0"/>
    <x v="0"/>
    <x v="47"/>
  </r>
  <r>
    <n v="117"/>
    <d v="2011-01-06T00:00:00"/>
    <n v="1"/>
    <n v="0"/>
    <n v="1"/>
    <n v="1"/>
    <b v="0"/>
    <n v="4"/>
    <n v="1"/>
    <n v="0.16"/>
    <x v="1"/>
    <x v="0"/>
    <x v="0"/>
    <x v="4"/>
  </r>
  <r>
    <n v="118"/>
    <d v="2011-01-06T00:00:00"/>
    <n v="1"/>
    <n v="0"/>
    <n v="1"/>
    <n v="2"/>
    <b v="0"/>
    <n v="4"/>
    <n v="1"/>
    <n v="0.16"/>
    <x v="1"/>
    <x v="0"/>
    <x v="0"/>
    <x v="3"/>
  </r>
  <r>
    <n v="119"/>
    <d v="2011-01-06T00:00:00"/>
    <n v="1"/>
    <n v="0"/>
    <n v="1"/>
    <n v="4"/>
    <b v="0"/>
    <n v="4"/>
    <n v="2"/>
    <n v="0.16"/>
    <x v="1"/>
    <x v="0"/>
    <x v="1"/>
    <x v="47"/>
  </r>
  <r>
    <n v="120"/>
    <d v="2011-01-06T00:00:00"/>
    <n v="1"/>
    <n v="0"/>
    <n v="1"/>
    <n v="5"/>
    <b v="0"/>
    <n v="4"/>
    <n v="2"/>
    <n v="0.14000000000000001"/>
    <x v="1"/>
    <x v="0"/>
    <x v="1"/>
    <x v="8"/>
  </r>
  <r>
    <n v="121"/>
    <d v="2011-01-06T00:00:00"/>
    <n v="1"/>
    <n v="0"/>
    <n v="1"/>
    <n v="6"/>
    <b v="0"/>
    <n v="4"/>
    <n v="2"/>
    <n v="0.14000000000000001"/>
    <x v="1"/>
    <x v="0"/>
    <x v="1"/>
    <x v="75"/>
  </r>
  <r>
    <n v="122"/>
    <d v="2011-01-06T00:00:00"/>
    <n v="1"/>
    <n v="0"/>
    <n v="1"/>
    <n v="7"/>
    <b v="0"/>
    <n v="4"/>
    <n v="2"/>
    <n v="0.16"/>
    <x v="1"/>
    <x v="0"/>
    <x v="1"/>
    <x v="76"/>
  </r>
  <r>
    <n v="123"/>
    <d v="2011-01-06T00:00:00"/>
    <n v="1"/>
    <n v="0"/>
    <n v="1"/>
    <n v="8"/>
    <b v="0"/>
    <n v="4"/>
    <n v="1"/>
    <n v="0.16"/>
    <x v="1"/>
    <x v="0"/>
    <x v="0"/>
    <x v="77"/>
  </r>
  <r>
    <n v="124"/>
    <d v="2011-01-06T00:00:00"/>
    <n v="1"/>
    <n v="0"/>
    <n v="1"/>
    <n v="9"/>
    <b v="0"/>
    <n v="4"/>
    <n v="2"/>
    <n v="0.18"/>
    <x v="1"/>
    <x v="0"/>
    <x v="1"/>
    <x v="78"/>
  </r>
  <r>
    <n v="125"/>
    <d v="2011-01-06T00:00:00"/>
    <n v="1"/>
    <n v="0"/>
    <n v="1"/>
    <n v="10"/>
    <b v="0"/>
    <n v="4"/>
    <n v="1"/>
    <n v="0.2"/>
    <x v="1"/>
    <x v="0"/>
    <x v="0"/>
    <x v="28"/>
  </r>
  <r>
    <n v="126"/>
    <d v="2011-01-06T00:00:00"/>
    <n v="1"/>
    <n v="0"/>
    <n v="1"/>
    <n v="11"/>
    <b v="0"/>
    <n v="4"/>
    <n v="1"/>
    <n v="0.22"/>
    <x v="1"/>
    <x v="0"/>
    <x v="0"/>
    <x v="10"/>
  </r>
  <r>
    <n v="127"/>
    <d v="2011-01-06T00:00:00"/>
    <n v="1"/>
    <n v="0"/>
    <n v="1"/>
    <n v="12"/>
    <b v="0"/>
    <n v="4"/>
    <n v="1"/>
    <n v="0.26"/>
    <x v="1"/>
    <x v="1"/>
    <x v="0"/>
    <x v="15"/>
  </r>
  <r>
    <n v="128"/>
    <d v="2011-01-06T00:00:00"/>
    <n v="1"/>
    <n v="0"/>
    <n v="1"/>
    <n v="13"/>
    <b v="0"/>
    <n v="4"/>
    <n v="1"/>
    <n v="0.26"/>
    <x v="1"/>
    <x v="1"/>
    <x v="0"/>
    <x v="26"/>
  </r>
  <r>
    <n v="129"/>
    <d v="2011-01-06T00:00:00"/>
    <n v="1"/>
    <n v="0"/>
    <n v="1"/>
    <n v="14"/>
    <b v="0"/>
    <n v="4"/>
    <n v="1"/>
    <n v="0.28000000000000003"/>
    <x v="1"/>
    <x v="1"/>
    <x v="0"/>
    <x v="68"/>
  </r>
  <r>
    <n v="130"/>
    <d v="2011-01-06T00:00:00"/>
    <n v="1"/>
    <n v="0"/>
    <n v="1"/>
    <n v="15"/>
    <b v="0"/>
    <n v="4"/>
    <n v="1"/>
    <n v="0.28000000000000003"/>
    <x v="1"/>
    <x v="1"/>
    <x v="0"/>
    <x v="79"/>
  </r>
  <r>
    <n v="131"/>
    <d v="2011-01-06T00:00:00"/>
    <n v="1"/>
    <n v="0"/>
    <n v="1"/>
    <n v="16"/>
    <b v="0"/>
    <n v="4"/>
    <n v="1"/>
    <n v="0.26"/>
    <x v="1"/>
    <x v="1"/>
    <x v="0"/>
    <x v="80"/>
  </r>
  <r>
    <n v="132"/>
    <d v="2011-01-06T00:00:00"/>
    <n v="1"/>
    <n v="0"/>
    <n v="1"/>
    <n v="17"/>
    <b v="0"/>
    <n v="4"/>
    <n v="1"/>
    <n v="0.22"/>
    <x v="1"/>
    <x v="1"/>
    <x v="0"/>
    <x v="81"/>
  </r>
  <r>
    <n v="133"/>
    <d v="2011-01-06T00:00:00"/>
    <n v="1"/>
    <n v="0"/>
    <n v="1"/>
    <n v="18"/>
    <b v="0"/>
    <n v="4"/>
    <n v="1"/>
    <n v="0.22"/>
    <x v="1"/>
    <x v="2"/>
    <x v="0"/>
    <x v="58"/>
  </r>
  <r>
    <n v="134"/>
    <d v="2011-01-06T00:00:00"/>
    <n v="1"/>
    <n v="0"/>
    <n v="1"/>
    <n v="19"/>
    <b v="0"/>
    <n v="4"/>
    <n v="1"/>
    <n v="0.22"/>
    <x v="1"/>
    <x v="2"/>
    <x v="0"/>
    <x v="82"/>
  </r>
  <r>
    <n v="135"/>
    <d v="2011-01-06T00:00:00"/>
    <n v="1"/>
    <n v="0"/>
    <n v="1"/>
    <n v="20"/>
    <b v="0"/>
    <n v="4"/>
    <n v="1"/>
    <n v="0.2"/>
    <x v="1"/>
    <x v="2"/>
    <x v="0"/>
    <x v="60"/>
  </r>
  <r>
    <n v="136"/>
    <d v="2011-01-06T00:00:00"/>
    <n v="1"/>
    <n v="0"/>
    <n v="1"/>
    <n v="21"/>
    <b v="0"/>
    <n v="4"/>
    <n v="2"/>
    <n v="0.22"/>
    <x v="1"/>
    <x v="2"/>
    <x v="1"/>
    <x v="45"/>
  </r>
  <r>
    <n v="137"/>
    <d v="2011-01-06T00:00:00"/>
    <n v="1"/>
    <n v="0"/>
    <n v="1"/>
    <n v="22"/>
    <b v="0"/>
    <n v="4"/>
    <n v="2"/>
    <n v="0.22"/>
    <x v="1"/>
    <x v="2"/>
    <x v="1"/>
    <x v="83"/>
  </r>
  <r>
    <n v="138"/>
    <d v="2011-01-06T00:00:00"/>
    <n v="1"/>
    <n v="0"/>
    <n v="1"/>
    <n v="23"/>
    <b v="0"/>
    <n v="4"/>
    <n v="2"/>
    <n v="0.2"/>
    <x v="1"/>
    <x v="2"/>
    <x v="1"/>
    <x v="21"/>
  </r>
  <r>
    <n v="139"/>
    <d v="2011-01-07T00:00:00"/>
    <n v="1"/>
    <n v="0"/>
    <n v="1"/>
    <n v="0"/>
    <b v="0"/>
    <n v="5"/>
    <n v="2"/>
    <n v="0.2"/>
    <x v="1"/>
    <x v="0"/>
    <x v="1"/>
    <x v="84"/>
  </r>
  <r>
    <n v="140"/>
    <d v="2011-01-07T00:00:00"/>
    <n v="1"/>
    <n v="0"/>
    <n v="1"/>
    <n v="1"/>
    <b v="0"/>
    <n v="5"/>
    <n v="2"/>
    <n v="0.2"/>
    <x v="1"/>
    <x v="0"/>
    <x v="1"/>
    <x v="3"/>
  </r>
  <r>
    <n v="141"/>
    <d v="2011-01-07T00:00:00"/>
    <n v="1"/>
    <n v="0"/>
    <n v="1"/>
    <n v="2"/>
    <b v="0"/>
    <n v="5"/>
    <n v="2"/>
    <n v="0.2"/>
    <x v="1"/>
    <x v="0"/>
    <x v="1"/>
    <x v="3"/>
  </r>
  <r>
    <n v="142"/>
    <d v="2011-01-07T00:00:00"/>
    <n v="1"/>
    <n v="0"/>
    <n v="1"/>
    <n v="4"/>
    <b v="0"/>
    <n v="5"/>
    <n v="2"/>
    <n v="0.2"/>
    <x v="1"/>
    <x v="0"/>
    <x v="1"/>
    <x v="35"/>
  </r>
  <r>
    <n v="143"/>
    <d v="2011-01-07T00:00:00"/>
    <n v="1"/>
    <n v="0"/>
    <n v="1"/>
    <n v="5"/>
    <b v="0"/>
    <n v="5"/>
    <n v="3"/>
    <n v="0.22"/>
    <x v="1"/>
    <x v="0"/>
    <x v="2"/>
    <x v="18"/>
  </r>
  <r>
    <n v="144"/>
    <d v="2011-01-07T00:00:00"/>
    <n v="1"/>
    <n v="0"/>
    <n v="1"/>
    <n v="6"/>
    <b v="0"/>
    <n v="5"/>
    <n v="2"/>
    <n v="0.2"/>
    <x v="1"/>
    <x v="0"/>
    <x v="1"/>
    <x v="10"/>
  </r>
  <r>
    <n v="145"/>
    <d v="2011-01-07T00:00:00"/>
    <n v="1"/>
    <n v="0"/>
    <n v="1"/>
    <n v="7"/>
    <b v="0"/>
    <n v="5"/>
    <n v="1"/>
    <n v="0.2"/>
    <x v="1"/>
    <x v="0"/>
    <x v="0"/>
    <x v="85"/>
  </r>
  <r>
    <n v="146"/>
    <d v="2011-01-07T00:00:00"/>
    <n v="1"/>
    <n v="0"/>
    <n v="1"/>
    <n v="8"/>
    <b v="0"/>
    <n v="5"/>
    <n v="1"/>
    <n v="0.2"/>
    <x v="1"/>
    <x v="0"/>
    <x v="0"/>
    <x v="86"/>
  </r>
  <r>
    <n v="147"/>
    <d v="2011-01-07T00:00:00"/>
    <n v="1"/>
    <n v="0"/>
    <n v="1"/>
    <n v="9"/>
    <b v="0"/>
    <n v="5"/>
    <n v="1"/>
    <n v="0.2"/>
    <x v="1"/>
    <x v="0"/>
    <x v="0"/>
    <x v="54"/>
  </r>
  <r>
    <n v="148"/>
    <d v="2011-01-07T00:00:00"/>
    <n v="1"/>
    <n v="0"/>
    <n v="1"/>
    <n v="10"/>
    <b v="0"/>
    <n v="5"/>
    <n v="1"/>
    <n v="0.22"/>
    <x v="1"/>
    <x v="0"/>
    <x v="0"/>
    <x v="15"/>
  </r>
  <r>
    <n v="149"/>
    <d v="2011-01-07T00:00:00"/>
    <n v="1"/>
    <n v="0"/>
    <n v="1"/>
    <n v="11"/>
    <b v="0"/>
    <n v="5"/>
    <n v="2"/>
    <n v="0.2"/>
    <x v="1"/>
    <x v="0"/>
    <x v="1"/>
    <x v="28"/>
  </r>
  <r>
    <n v="150"/>
    <d v="2011-01-07T00:00:00"/>
    <n v="1"/>
    <n v="0"/>
    <n v="1"/>
    <n v="12"/>
    <b v="0"/>
    <n v="5"/>
    <n v="2"/>
    <n v="0.2"/>
    <x v="1"/>
    <x v="1"/>
    <x v="1"/>
    <x v="87"/>
  </r>
  <r>
    <n v="151"/>
    <d v="2011-01-07T00:00:00"/>
    <n v="1"/>
    <n v="0"/>
    <n v="1"/>
    <n v="13"/>
    <b v="0"/>
    <n v="5"/>
    <n v="2"/>
    <n v="0.2"/>
    <x v="1"/>
    <x v="1"/>
    <x v="1"/>
    <x v="88"/>
  </r>
  <r>
    <n v="152"/>
    <d v="2011-01-07T00:00:00"/>
    <n v="1"/>
    <n v="0"/>
    <n v="1"/>
    <n v="14"/>
    <b v="0"/>
    <n v="5"/>
    <n v="2"/>
    <n v="0.2"/>
    <x v="1"/>
    <x v="1"/>
    <x v="1"/>
    <x v="43"/>
  </r>
  <r>
    <n v="153"/>
    <d v="2011-01-07T00:00:00"/>
    <n v="1"/>
    <n v="0"/>
    <n v="1"/>
    <n v="15"/>
    <b v="0"/>
    <n v="5"/>
    <n v="2"/>
    <n v="0.2"/>
    <x v="1"/>
    <x v="1"/>
    <x v="1"/>
    <x v="89"/>
  </r>
  <r>
    <n v="154"/>
    <d v="2011-01-07T00:00:00"/>
    <n v="1"/>
    <n v="0"/>
    <n v="1"/>
    <n v="16"/>
    <b v="0"/>
    <n v="5"/>
    <n v="2"/>
    <n v="0.2"/>
    <x v="1"/>
    <x v="1"/>
    <x v="1"/>
    <x v="90"/>
  </r>
  <r>
    <n v="155"/>
    <d v="2011-01-07T00:00:00"/>
    <n v="1"/>
    <n v="0"/>
    <n v="1"/>
    <n v="17"/>
    <b v="0"/>
    <n v="5"/>
    <n v="2"/>
    <n v="0.2"/>
    <x v="1"/>
    <x v="1"/>
    <x v="1"/>
    <x v="91"/>
  </r>
  <r>
    <n v="156"/>
    <d v="2011-01-07T00:00:00"/>
    <n v="1"/>
    <n v="0"/>
    <n v="1"/>
    <n v="18"/>
    <b v="0"/>
    <n v="5"/>
    <n v="1"/>
    <n v="0.2"/>
    <x v="1"/>
    <x v="2"/>
    <x v="0"/>
    <x v="75"/>
  </r>
  <r>
    <n v="157"/>
    <d v="2011-01-07T00:00:00"/>
    <n v="1"/>
    <n v="0"/>
    <n v="1"/>
    <n v="19"/>
    <b v="0"/>
    <n v="5"/>
    <n v="1"/>
    <n v="0.16"/>
    <x v="1"/>
    <x v="2"/>
    <x v="0"/>
    <x v="40"/>
  </r>
  <r>
    <n v="158"/>
    <d v="2011-01-07T00:00:00"/>
    <n v="1"/>
    <n v="0"/>
    <n v="1"/>
    <n v="20"/>
    <b v="0"/>
    <n v="5"/>
    <n v="1"/>
    <n v="0.18"/>
    <x v="1"/>
    <x v="2"/>
    <x v="0"/>
    <x v="20"/>
  </r>
  <r>
    <n v="159"/>
    <d v="2011-01-07T00:00:00"/>
    <n v="1"/>
    <n v="0"/>
    <n v="1"/>
    <n v="21"/>
    <b v="0"/>
    <n v="5"/>
    <n v="1"/>
    <n v="0.18"/>
    <x v="1"/>
    <x v="2"/>
    <x v="0"/>
    <x v="8"/>
  </r>
  <r>
    <n v="160"/>
    <d v="2011-01-07T00:00:00"/>
    <n v="1"/>
    <n v="0"/>
    <n v="1"/>
    <n v="22"/>
    <b v="0"/>
    <n v="5"/>
    <n v="2"/>
    <n v="0.18"/>
    <x v="1"/>
    <x v="2"/>
    <x v="1"/>
    <x v="92"/>
  </r>
  <r>
    <n v="161"/>
    <d v="2011-01-07T00:00:00"/>
    <n v="1"/>
    <n v="0"/>
    <n v="1"/>
    <n v="23"/>
    <b v="0"/>
    <n v="5"/>
    <n v="2"/>
    <n v="0.18"/>
    <x v="1"/>
    <x v="2"/>
    <x v="1"/>
    <x v="93"/>
  </r>
  <r>
    <n v="162"/>
    <d v="2011-01-08T00:00:00"/>
    <n v="1"/>
    <n v="0"/>
    <n v="1"/>
    <n v="0"/>
    <b v="0"/>
    <n v="6"/>
    <n v="2"/>
    <n v="0.18"/>
    <x v="0"/>
    <x v="0"/>
    <x v="1"/>
    <x v="94"/>
  </r>
  <r>
    <n v="163"/>
    <d v="2011-01-08T00:00:00"/>
    <n v="1"/>
    <n v="0"/>
    <n v="1"/>
    <n v="1"/>
    <b v="0"/>
    <n v="6"/>
    <n v="2"/>
    <n v="0.18"/>
    <x v="0"/>
    <x v="0"/>
    <x v="1"/>
    <x v="94"/>
  </r>
  <r>
    <n v="164"/>
    <d v="2011-01-08T00:00:00"/>
    <n v="1"/>
    <n v="0"/>
    <n v="1"/>
    <n v="2"/>
    <b v="0"/>
    <n v="6"/>
    <n v="2"/>
    <n v="0.18"/>
    <x v="0"/>
    <x v="0"/>
    <x v="1"/>
    <x v="84"/>
  </r>
  <r>
    <n v="165"/>
    <d v="2011-01-08T00:00:00"/>
    <n v="1"/>
    <n v="0"/>
    <n v="1"/>
    <n v="3"/>
    <b v="0"/>
    <n v="6"/>
    <n v="3"/>
    <n v="0.18"/>
    <x v="0"/>
    <x v="0"/>
    <x v="2"/>
    <x v="3"/>
  </r>
  <r>
    <n v="166"/>
    <d v="2011-01-08T00:00:00"/>
    <n v="1"/>
    <n v="0"/>
    <n v="1"/>
    <n v="4"/>
    <b v="0"/>
    <n v="6"/>
    <n v="3"/>
    <n v="0.18"/>
    <x v="0"/>
    <x v="0"/>
    <x v="2"/>
    <x v="35"/>
  </r>
  <r>
    <n v="167"/>
    <d v="2011-01-08T00:00:00"/>
    <n v="1"/>
    <n v="0"/>
    <n v="1"/>
    <n v="5"/>
    <b v="0"/>
    <n v="6"/>
    <n v="2"/>
    <n v="0.16"/>
    <x v="0"/>
    <x v="0"/>
    <x v="1"/>
    <x v="4"/>
  </r>
  <r>
    <n v="168"/>
    <d v="2011-01-08T00:00:00"/>
    <n v="1"/>
    <n v="0"/>
    <n v="1"/>
    <n v="6"/>
    <b v="0"/>
    <n v="6"/>
    <n v="2"/>
    <n v="0.16"/>
    <x v="0"/>
    <x v="0"/>
    <x v="1"/>
    <x v="22"/>
  </r>
  <r>
    <n v="169"/>
    <d v="2011-01-08T00:00:00"/>
    <n v="1"/>
    <n v="0"/>
    <n v="1"/>
    <n v="7"/>
    <b v="0"/>
    <n v="6"/>
    <n v="2"/>
    <n v="0.16"/>
    <x v="0"/>
    <x v="0"/>
    <x v="1"/>
    <x v="92"/>
  </r>
  <r>
    <n v="170"/>
    <d v="2011-01-08T00:00:00"/>
    <n v="1"/>
    <n v="0"/>
    <n v="1"/>
    <n v="8"/>
    <b v="0"/>
    <n v="6"/>
    <n v="3"/>
    <n v="0.16"/>
    <x v="0"/>
    <x v="0"/>
    <x v="2"/>
    <x v="24"/>
  </r>
  <r>
    <n v="171"/>
    <d v="2011-01-08T00:00:00"/>
    <n v="1"/>
    <n v="0"/>
    <n v="1"/>
    <n v="9"/>
    <b v="0"/>
    <n v="6"/>
    <n v="3"/>
    <n v="0.16"/>
    <x v="0"/>
    <x v="0"/>
    <x v="2"/>
    <x v="41"/>
  </r>
  <r>
    <n v="172"/>
    <d v="2011-01-08T00:00:00"/>
    <n v="1"/>
    <n v="0"/>
    <n v="1"/>
    <n v="10"/>
    <b v="0"/>
    <n v="6"/>
    <n v="2"/>
    <n v="0.18"/>
    <x v="0"/>
    <x v="0"/>
    <x v="1"/>
    <x v="68"/>
  </r>
  <r>
    <n v="173"/>
    <d v="2011-01-08T00:00:00"/>
    <n v="1"/>
    <n v="0"/>
    <n v="1"/>
    <n v="11"/>
    <b v="0"/>
    <n v="6"/>
    <n v="2"/>
    <n v="0.2"/>
    <x v="0"/>
    <x v="0"/>
    <x v="1"/>
    <x v="95"/>
  </r>
  <r>
    <n v="174"/>
    <d v="2011-01-08T00:00:00"/>
    <n v="1"/>
    <n v="0"/>
    <n v="1"/>
    <n v="12"/>
    <b v="0"/>
    <n v="6"/>
    <n v="2"/>
    <n v="0.2"/>
    <x v="0"/>
    <x v="1"/>
    <x v="1"/>
    <x v="96"/>
  </r>
  <r>
    <n v="175"/>
    <d v="2011-01-08T00:00:00"/>
    <n v="1"/>
    <n v="0"/>
    <n v="1"/>
    <n v="13"/>
    <b v="0"/>
    <n v="6"/>
    <n v="1"/>
    <n v="0.2"/>
    <x v="0"/>
    <x v="1"/>
    <x v="0"/>
    <x v="75"/>
  </r>
  <r>
    <n v="176"/>
    <d v="2011-01-08T00:00:00"/>
    <n v="1"/>
    <n v="0"/>
    <n v="1"/>
    <n v="14"/>
    <b v="0"/>
    <n v="6"/>
    <n v="1"/>
    <n v="0.2"/>
    <x v="0"/>
    <x v="1"/>
    <x v="0"/>
    <x v="29"/>
  </r>
  <r>
    <n v="177"/>
    <d v="2011-01-08T00:00:00"/>
    <n v="1"/>
    <n v="0"/>
    <n v="1"/>
    <n v="15"/>
    <b v="0"/>
    <n v="6"/>
    <n v="1"/>
    <n v="0.2"/>
    <x v="0"/>
    <x v="1"/>
    <x v="0"/>
    <x v="30"/>
  </r>
  <r>
    <n v="178"/>
    <d v="2011-01-08T00:00:00"/>
    <n v="1"/>
    <n v="0"/>
    <n v="1"/>
    <n v="16"/>
    <b v="0"/>
    <n v="6"/>
    <n v="1"/>
    <n v="0.18"/>
    <x v="0"/>
    <x v="1"/>
    <x v="0"/>
    <x v="82"/>
  </r>
  <r>
    <n v="179"/>
    <d v="2011-01-08T00:00:00"/>
    <n v="1"/>
    <n v="0"/>
    <n v="1"/>
    <n v="17"/>
    <b v="0"/>
    <n v="6"/>
    <n v="1"/>
    <n v="0.16"/>
    <x v="0"/>
    <x v="1"/>
    <x v="0"/>
    <x v="97"/>
  </r>
  <r>
    <n v="180"/>
    <d v="2011-01-08T00:00:00"/>
    <n v="1"/>
    <n v="0"/>
    <n v="1"/>
    <n v="18"/>
    <b v="0"/>
    <n v="6"/>
    <n v="1"/>
    <n v="0.14000000000000001"/>
    <x v="0"/>
    <x v="2"/>
    <x v="0"/>
    <x v="32"/>
  </r>
  <r>
    <n v="181"/>
    <d v="2011-01-08T00:00:00"/>
    <n v="1"/>
    <n v="0"/>
    <n v="1"/>
    <n v="19"/>
    <b v="0"/>
    <n v="6"/>
    <n v="1"/>
    <n v="0.14000000000000001"/>
    <x v="0"/>
    <x v="2"/>
    <x v="0"/>
    <x v="19"/>
  </r>
  <r>
    <n v="182"/>
    <d v="2011-01-08T00:00:00"/>
    <n v="1"/>
    <n v="0"/>
    <n v="1"/>
    <n v="20"/>
    <b v="0"/>
    <n v="6"/>
    <n v="1"/>
    <n v="0.12"/>
    <x v="0"/>
    <x v="2"/>
    <x v="0"/>
    <x v="17"/>
  </r>
  <r>
    <n v="183"/>
    <d v="2011-01-08T00:00:00"/>
    <n v="1"/>
    <n v="0"/>
    <n v="1"/>
    <n v="21"/>
    <b v="0"/>
    <n v="6"/>
    <n v="1"/>
    <n v="0.12"/>
    <x v="0"/>
    <x v="2"/>
    <x v="0"/>
    <x v="18"/>
  </r>
  <r>
    <n v="184"/>
    <d v="2011-01-08T00:00:00"/>
    <n v="1"/>
    <n v="0"/>
    <n v="1"/>
    <n v="22"/>
    <b v="0"/>
    <n v="6"/>
    <n v="1"/>
    <n v="0.12"/>
    <x v="0"/>
    <x v="2"/>
    <x v="0"/>
    <x v="33"/>
  </r>
  <r>
    <n v="185"/>
    <d v="2011-01-08T00:00:00"/>
    <n v="1"/>
    <n v="0"/>
    <n v="1"/>
    <n v="23"/>
    <b v="0"/>
    <n v="6"/>
    <n v="1"/>
    <n v="0.1"/>
    <x v="0"/>
    <x v="2"/>
    <x v="0"/>
    <x v="93"/>
  </r>
  <r>
    <n v="186"/>
    <d v="2011-01-09T00:00:00"/>
    <n v="1"/>
    <n v="0"/>
    <n v="1"/>
    <n v="0"/>
    <b v="0"/>
    <n v="0"/>
    <n v="1"/>
    <n v="0.1"/>
    <x v="0"/>
    <x v="0"/>
    <x v="0"/>
    <x v="46"/>
  </r>
  <r>
    <n v="187"/>
    <d v="2011-01-09T00:00:00"/>
    <n v="1"/>
    <n v="0"/>
    <n v="1"/>
    <n v="1"/>
    <b v="0"/>
    <n v="0"/>
    <n v="1"/>
    <n v="0.1"/>
    <x v="0"/>
    <x v="0"/>
    <x v="0"/>
    <x v="61"/>
  </r>
  <r>
    <n v="188"/>
    <d v="2011-01-09T00:00:00"/>
    <n v="1"/>
    <n v="0"/>
    <n v="1"/>
    <n v="2"/>
    <b v="0"/>
    <n v="0"/>
    <n v="1"/>
    <n v="0.1"/>
    <x v="0"/>
    <x v="0"/>
    <x v="0"/>
    <x v="47"/>
  </r>
  <r>
    <n v="189"/>
    <d v="2011-01-09T00:00:00"/>
    <n v="1"/>
    <n v="0"/>
    <n v="1"/>
    <n v="3"/>
    <b v="0"/>
    <n v="0"/>
    <n v="1"/>
    <n v="0.1"/>
    <x v="0"/>
    <x v="0"/>
    <x v="0"/>
    <x v="3"/>
  </r>
  <r>
    <n v="190"/>
    <d v="2011-01-09T00:00:00"/>
    <n v="1"/>
    <n v="0"/>
    <n v="1"/>
    <n v="4"/>
    <b v="0"/>
    <n v="0"/>
    <n v="1"/>
    <n v="0.08"/>
    <x v="0"/>
    <x v="0"/>
    <x v="0"/>
    <x v="3"/>
  </r>
  <r>
    <n v="191"/>
    <d v="2011-01-09T00:00:00"/>
    <n v="1"/>
    <n v="0"/>
    <n v="1"/>
    <n v="5"/>
    <b v="0"/>
    <n v="0"/>
    <n v="1"/>
    <n v="0.08"/>
    <x v="0"/>
    <x v="0"/>
    <x v="0"/>
    <x v="3"/>
  </r>
  <r>
    <n v="192"/>
    <d v="2011-01-09T00:00:00"/>
    <n v="1"/>
    <n v="0"/>
    <n v="1"/>
    <n v="6"/>
    <b v="0"/>
    <n v="0"/>
    <n v="1"/>
    <n v="0.1"/>
    <x v="0"/>
    <x v="0"/>
    <x v="0"/>
    <x v="23"/>
  </r>
  <r>
    <n v="193"/>
    <d v="2011-01-09T00:00:00"/>
    <n v="1"/>
    <n v="0"/>
    <n v="1"/>
    <n v="7"/>
    <b v="0"/>
    <n v="0"/>
    <n v="1"/>
    <n v="0.08"/>
    <x v="0"/>
    <x v="0"/>
    <x v="0"/>
    <x v="98"/>
  </r>
  <r>
    <n v="194"/>
    <d v="2011-01-09T00:00:00"/>
    <n v="1"/>
    <n v="0"/>
    <n v="1"/>
    <n v="8"/>
    <b v="0"/>
    <n v="0"/>
    <n v="1"/>
    <n v="0.1"/>
    <x v="0"/>
    <x v="0"/>
    <x v="0"/>
    <x v="74"/>
  </r>
  <r>
    <n v="195"/>
    <d v="2011-01-09T00:00:00"/>
    <n v="1"/>
    <n v="0"/>
    <n v="1"/>
    <n v="9"/>
    <b v="0"/>
    <n v="0"/>
    <n v="1"/>
    <n v="0.12"/>
    <x v="0"/>
    <x v="0"/>
    <x v="0"/>
    <x v="99"/>
  </r>
  <r>
    <n v="196"/>
    <d v="2011-01-09T00:00:00"/>
    <n v="1"/>
    <n v="0"/>
    <n v="1"/>
    <n v="10"/>
    <b v="0"/>
    <n v="0"/>
    <n v="1"/>
    <n v="0.14000000000000001"/>
    <x v="0"/>
    <x v="0"/>
    <x v="0"/>
    <x v="99"/>
  </r>
  <r>
    <n v="197"/>
    <d v="2011-01-09T00:00:00"/>
    <n v="1"/>
    <n v="0"/>
    <n v="1"/>
    <n v="11"/>
    <b v="0"/>
    <n v="0"/>
    <n v="1"/>
    <n v="0.16"/>
    <x v="0"/>
    <x v="0"/>
    <x v="0"/>
    <x v="55"/>
  </r>
  <r>
    <n v="198"/>
    <d v="2011-01-09T00:00:00"/>
    <n v="1"/>
    <n v="0"/>
    <n v="1"/>
    <n v="12"/>
    <b v="0"/>
    <n v="0"/>
    <n v="1"/>
    <n v="0.18"/>
    <x v="0"/>
    <x v="1"/>
    <x v="0"/>
    <x v="27"/>
  </r>
  <r>
    <n v="199"/>
    <d v="2011-01-09T00:00:00"/>
    <n v="1"/>
    <n v="0"/>
    <n v="1"/>
    <n v="13"/>
    <b v="0"/>
    <n v="0"/>
    <n v="1"/>
    <n v="0.2"/>
    <x v="0"/>
    <x v="1"/>
    <x v="0"/>
    <x v="43"/>
  </r>
  <r>
    <n v="200"/>
    <d v="2011-01-09T00:00:00"/>
    <n v="1"/>
    <n v="0"/>
    <n v="1"/>
    <n v="14"/>
    <b v="0"/>
    <n v="0"/>
    <n v="1"/>
    <n v="0.22"/>
    <x v="0"/>
    <x v="1"/>
    <x v="0"/>
    <x v="100"/>
  </r>
  <r>
    <n v="201"/>
    <d v="2011-01-09T00:00:00"/>
    <n v="1"/>
    <n v="0"/>
    <n v="1"/>
    <n v="15"/>
    <b v="0"/>
    <n v="0"/>
    <n v="1"/>
    <n v="0.22"/>
    <x v="0"/>
    <x v="1"/>
    <x v="0"/>
    <x v="101"/>
  </r>
  <r>
    <n v="202"/>
    <d v="2011-01-09T00:00:00"/>
    <n v="1"/>
    <n v="0"/>
    <n v="1"/>
    <n v="16"/>
    <b v="0"/>
    <n v="0"/>
    <n v="1"/>
    <n v="0.2"/>
    <x v="0"/>
    <x v="1"/>
    <x v="0"/>
    <x v="68"/>
  </r>
  <r>
    <n v="203"/>
    <d v="2011-01-09T00:00:00"/>
    <n v="1"/>
    <n v="0"/>
    <n v="1"/>
    <n v="17"/>
    <b v="0"/>
    <n v="0"/>
    <n v="1"/>
    <n v="0.18"/>
    <x v="0"/>
    <x v="1"/>
    <x v="0"/>
    <x v="60"/>
  </r>
  <r>
    <n v="204"/>
    <d v="2011-01-09T00:00:00"/>
    <n v="1"/>
    <n v="0"/>
    <n v="1"/>
    <n v="18"/>
    <b v="0"/>
    <n v="0"/>
    <n v="1"/>
    <n v="0.16"/>
    <x v="0"/>
    <x v="2"/>
    <x v="0"/>
    <x v="102"/>
  </r>
  <r>
    <n v="205"/>
    <d v="2011-01-09T00:00:00"/>
    <n v="1"/>
    <n v="0"/>
    <n v="1"/>
    <n v="19"/>
    <b v="0"/>
    <n v="0"/>
    <n v="1"/>
    <n v="0.16"/>
    <x v="0"/>
    <x v="2"/>
    <x v="0"/>
    <x v="103"/>
  </r>
  <r>
    <n v="206"/>
    <d v="2011-01-09T00:00:00"/>
    <n v="1"/>
    <n v="0"/>
    <n v="1"/>
    <n v="20"/>
    <b v="0"/>
    <n v="0"/>
    <n v="1"/>
    <n v="0.14000000000000001"/>
    <x v="0"/>
    <x v="2"/>
    <x v="0"/>
    <x v="24"/>
  </r>
  <r>
    <n v="207"/>
    <d v="2011-01-09T00:00:00"/>
    <n v="1"/>
    <n v="0"/>
    <n v="1"/>
    <n v="21"/>
    <b v="0"/>
    <n v="0"/>
    <n v="1"/>
    <n v="0.14000000000000001"/>
    <x v="0"/>
    <x v="2"/>
    <x v="0"/>
    <x v="92"/>
  </r>
  <r>
    <n v="208"/>
    <d v="2011-01-09T00:00:00"/>
    <n v="1"/>
    <n v="0"/>
    <n v="1"/>
    <n v="22"/>
    <b v="0"/>
    <n v="0"/>
    <n v="1"/>
    <n v="0.14000000000000001"/>
    <x v="0"/>
    <x v="2"/>
    <x v="0"/>
    <x v="23"/>
  </r>
  <r>
    <n v="209"/>
    <d v="2011-01-09T00:00:00"/>
    <n v="1"/>
    <n v="0"/>
    <n v="1"/>
    <n v="23"/>
    <b v="0"/>
    <n v="0"/>
    <n v="1"/>
    <n v="0.12"/>
    <x v="0"/>
    <x v="2"/>
    <x v="0"/>
    <x v="35"/>
  </r>
  <r>
    <n v="210"/>
    <d v="2011-01-10T00:00:00"/>
    <n v="1"/>
    <n v="0"/>
    <n v="1"/>
    <n v="0"/>
    <b v="0"/>
    <n v="1"/>
    <n v="1"/>
    <n v="0.12"/>
    <x v="1"/>
    <x v="0"/>
    <x v="0"/>
    <x v="3"/>
  </r>
  <r>
    <n v="211"/>
    <d v="2011-01-10T00:00:00"/>
    <n v="1"/>
    <n v="0"/>
    <n v="1"/>
    <n v="1"/>
    <b v="0"/>
    <n v="1"/>
    <n v="1"/>
    <n v="0.12"/>
    <x v="1"/>
    <x v="0"/>
    <x v="0"/>
    <x v="5"/>
  </r>
  <r>
    <n v="212"/>
    <d v="2011-01-10T00:00:00"/>
    <n v="1"/>
    <n v="0"/>
    <n v="1"/>
    <n v="2"/>
    <b v="0"/>
    <n v="1"/>
    <n v="1"/>
    <n v="0.12"/>
    <x v="1"/>
    <x v="0"/>
    <x v="0"/>
    <x v="3"/>
  </r>
  <r>
    <n v="213"/>
    <d v="2011-01-10T00:00:00"/>
    <n v="1"/>
    <n v="0"/>
    <n v="1"/>
    <n v="3"/>
    <b v="0"/>
    <n v="1"/>
    <n v="1"/>
    <n v="0.12"/>
    <x v="1"/>
    <x v="0"/>
    <x v="0"/>
    <x v="5"/>
  </r>
  <r>
    <n v="214"/>
    <d v="2011-01-10T00:00:00"/>
    <n v="1"/>
    <n v="0"/>
    <n v="1"/>
    <n v="4"/>
    <b v="0"/>
    <n v="1"/>
    <n v="1"/>
    <n v="0.1"/>
    <x v="1"/>
    <x v="0"/>
    <x v="0"/>
    <x v="5"/>
  </r>
  <r>
    <n v="215"/>
    <d v="2011-01-10T00:00:00"/>
    <n v="1"/>
    <n v="0"/>
    <n v="1"/>
    <n v="5"/>
    <b v="0"/>
    <n v="1"/>
    <n v="1"/>
    <n v="0.1"/>
    <x v="1"/>
    <x v="0"/>
    <x v="0"/>
    <x v="34"/>
  </r>
  <r>
    <n v="216"/>
    <d v="2011-01-10T00:00:00"/>
    <n v="1"/>
    <n v="0"/>
    <n v="1"/>
    <n v="6"/>
    <b v="0"/>
    <n v="1"/>
    <n v="1"/>
    <n v="0.12"/>
    <x v="1"/>
    <x v="0"/>
    <x v="0"/>
    <x v="42"/>
  </r>
  <r>
    <n v="217"/>
    <d v="2011-01-10T00:00:00"/>
    <n v="1"/>
    <n v="0"/>
    <n v="1"/>
    <n v="7"/>
    <b v="0"/>
    <n v="1"/>
    <n v="1"/>
    <n v="0.12"/>
    <x v="1"/>
    <x v="0"/>
    <x v="0"/>
    <x v="104"/>
  </r>
  <r>
    <n v="218"/>
    <d v="2011-01-10T00:00:00"/>
    <n v="1"/>
    <n v="0"/>
    <n v="1"/>
    <n v="8"/>
    <b v="0"/>
    <n v="1"/>
    <n v="2"/>
    <n v="0.12"/>
    <x v="1"/>
    <x v="0"/>
    <x v="1"/>
    <x v="11"/>
  </r>
  <r>
    <n v="219"/>
    <d v="2011-01-10T00:00:00"/>
    <n v="1"/>
    <n v="0"/>
    <n v="1"/>
    <n v="9"/>
    <b v="0"/>
    <n v="1"/>
    <n v="2"/>
    <n v="0.14000000000000001"/>
    <x v="1"/>
    <x v="0"/>
    <x v="1"/>
    <x v="34"/>
  </r>
  <r>
    <n v="220"/>
    <d v="2011-01-10T00:00:00"/>
    <n v="1"/>
    <n v="0"/>
    <n v="1"/>
    <n v="10"/>
    <b v="0"/>
    <n v="1"/>
    <n v="2"/>
    <n v="0.14000000000000001"/>
    <x v="1"/>
    <x v="0"/>
    <x v="1"/>
    <x v="32"/>
  </r>
  <r>
    <n v="221"/>
    <d v="2011-01-10T00:00:00"/>
    <n v="1"/>
    <n v="0"/>
    <n v="1"/>
    <n v="11"/>
    <b v="0"/>
    <n v="1"/>
    <n v="2"/>
    <n v="0.16"/>
    <x v="1"/>
    <x v="0"/>
    <x v="1"/>
    <x v="45"/>
  </r>
  <r>
    <n v="222"/>
    <d v="2011-01-10T00:00:00"/>
    <n v="1"/>
    <n v="0"/>
    <n v="1"/>
    <n v="12"/>
    <b v="0"/>
    <n v="1"/>
    <n v="2"/>
    <n v="0.2"/>
    <x v="1"/>
    <x v="1"/>
    <x v="1"/>
    <x v="59"/>
  </r>
  <r>
    <n v="223"/>
    <d v="2011-01-10T00:00:00"/>
    <n v="1"/>
    <n v="0"/>
    <n v="1"/>
    <n v="13"/>
    <b v="0"/>
    <n v="1"/>
    <n v="2"/>
    <n v="0.2"/>
    <x v="1"/>
    <x v="1"/>
    <x v="1"/>
    <x v="105"/>
  </r>
  <r>
    <n v="224"/>
    <d v="2011-01-10T00:00:00"/>
    <n v="1"/>
    <n v="0"/>
    <n v="1"/>
    <n v="14"/>
    <b v="0"/>
    <n v="1"/>
    <n v="2"/>
    <n v="0.2"/>
    <x v="1"/>
    <x v="1"/>
    <x v="1"/>
    <x v="78"/>
  </r>
  <r>
    <n v="225"/>
    <d v="2011-01-10T00:00:00"/>
    <n v="1"/>
    <n v="0"/>
    <n v="1"/>
    <n v="15"/>
    <b v="0"/>
    <n v="1"/>
    <n v="2"/>
    <n v="0.2"/>
    <x v="1"/>
    <x v="1"/>
    <x v="1"/>
    <x v="29"/>
  </r>
  <r>
    <n v="226"/>
    <d v="2011-01-10T00:00:00"/>
    <n v="1"/>
    <n v="0"/>
    <n v="1"/>
    <n v="16"/>
    <b v="0"/>
    <n v="1"/>
    <n v="1"/>
    <n v="0.2"/>
    <x v="1"/>
    <x v="1"/>
    <x v="0"/>
    <x v="106"/>
  </r>
  <r>
    <n v="227"/>
    <d v="2011-01-10T00:00:00"/>
    <n v="1"/>
    <n v="0"/>
    <n v="1"/>
    <n v="17"/>
    <b v="0"/>
    <n v="1"/>
    <n v="1"/>
    <n v="0.2"/>
    <x v="1"/>
    <x v="1"/>
    <x v="0"/>
    <x v="107"/>
  </r>
  <r>
    <n v="228"/>
    <d v="2011-01-10T00:00:00"/>
    <n v="1"/>
    <n v="0"/>
    <n v="1"/>
    <n v="18"/>
    <b v="0"/>
    <n v="1"/>
    <n v="1"/>
    <n v="0.2"/>
    <x v="1"/>
    <x v="2"/>
    <x v="0"/>
    <x v="75"/>
  </r>
  <r>
    <n v="229"/>
    <d v="2011-01-10T00:00:00"/>
    <n v="1"/>
    <n v="0"/>
    <n v="1"/>
    <n v="19"/>
    <b v="0"/>
    <n v="1"/>
    <n v="1"/>
    <n v="0.16"/>
    <x v="1"/>
    <x v="2"/>
    <x v="0"/>
    <x v="29"/>
  </r>
  <r>
    <n v="230"/>
    <d v="2011-01-10T00:00:00"/>
    <n v="1"/>
    <n v="0"/>
    <n v="1"/>
    <n v="20"/>
    <b v="0"/>
    <n v="1"/>
    <n v="1"/>
    <n v="0.16"/>
    <x v="1"/>
    <x v="2"/>
    <x v="0"/>
    <x v="103"/>
  </r>
  <r>
    <n v="231"/>
    <d v="2011-01-10T00:00:00"/>
    <n v="1"/>
    <n v="0"/>
    <n v="1"/>
    <n v="21"/>
    <b v="0"/>
    <n v="1"/>
    <n v="1"/>
    <n v="0.14000000000000001"/>
    <x v="1"/>
    <x v="2"/>
    <x v="0"/>
    <x v="108"/>
  </r>
  <r>
    <n v="232"/>
    <d v="2011-01-10T00:00:00"/>
    <n v="1"/>
    <n v="0"/>
    <n v="1"/>
    <n v="22"/>
    <b v="0"/>
    <n v="1"/>
    <n v="1"/>
    <n v="0.14000000000000001"/>
    <x v="1"/>
    <x v="2"/>
    <x v="0"/>
    <x v="109"/>
  </r>
  <r>
    <n v="233"/>
    <d v="2011-01-10T00:00:00"/>
    <n v="1"/>
    <n v="0"/>
    <n v="1"/>
    <n v="23"/>
    <b v="0"/>
    <n v="1"/>
    <n v="1"/>
    <n v="0.14000000000000001"/>
    <x v="1"/>
    <x v="2"/>
    <x v="0"/>
    <x v="46"/>
  </r>
  <r>
    <n v="234"/>
    <d v="2011-01-11T00:00:00"/>
    <n v="1"/>
    <n v="0"/>
    <n v="1"/>
    <n v="0"/>
    <b v="0"/>
    <n v="2"/>
    <n v="1"/>
    <n v="0.14000000000000001"/>
    <x v="1"/>
    <x v="0"/>
    <x v="0"/>
    <x v="5"/>
  </r>
  <r>
    <n v="235"/>
    <d v="2011-01-11T00:00:00"/>
    <n v="1"/>
    <n v="0"/>
    <n v="1"/>
    <n v="1"/>
    <b v="0"/>
    <n v="2"/>
    <n v="1"/>
    <n v="0.14000000000000001"/>
    <x v="1"/>
    <x v="0"/>
    <x v="0"/>
    <x v="5"/>
  </r>
  <r>
    <n v="236"/>
    <d v="2011-01-11T00:00:00"/>
    <n v="1"/>
    <n v="0"/>
    <n v="1"/>
    <n v="2"/>
    <b v="0"/>
    <n v="2"/>
    <n v="2"/>
    <n v="0.16"/>
    <x v="1"/>
    <x v="0"/>
    <x v="1"/>
    <x v="23"/>
  </r>
  <r>
    <n v="237"/>
    <d v="2011-01-11T00:00:00"/>
    <n v="1"/>
    <n v="0"/>
    <n v="1"/>
    <n v="5"/>
    <b v="0"/>
    <n v="2"/>
    <n v="2"/>
    <n v="0.16"/>
    <x v="1"/>
    <x v="0"/>
    <x v="1"/>
    <x v="110"/>
  </r>
  <r>
    <n v="238"/>
    <d v="2011-01-11T00:00:00"/>
    <n v="1"/>
    <n v="0"/>
    <n v="1"/>
    <n v="6"/>
    <b v="0"/>
    <n v="2"/>
    <n v="2"/>
    <n v="0.16"/>
    <x v="1"/>
    <x v="0"/>
    <x v="1"/>
    <x v="111"/>
  </r>
  <r>
    <n v="239"/>
    <d v="2011-01-11T00:00:00"/>
    <n v="1"/>
    <n v="0"/>
    <n v="1"/>
    <n v="7"/>
    <b v="0"/>
    <n v="2"/>
    <n v="2"/>
    <n v="0.16"/>
    <x v="1"/>
    <x v="0"/>
    <x v="1"/>
    <x v="112"/>
  </r>
  <r>
    <n v="240"/>
    <d v="2011-01-11T00:00:00"/>
    <n v="1"/>
    <n v="0"/>
    <n v="1"/>
    <n v="8"/>
    <b v="0"/>
    <n v="2"/>
    <n v="2"/>
    <n v="0.18"/>
    <x v="1"/>
    <x v="0"/>
    <x v="1"/>
    <x v="113"/>
  </r>
  <r>
    <n v="241"/>
    <d v="2011-01-11T00:00:00"/>
    <n v="1"/>
    <n v="0"/>
    <n v="1"/>
    <n v="9"/>
    <b v="0"/>
    <n v="2"/>
    <n v="2"/>
    <n v="0.18"/>
    <x v="1"/>
    <x v="0"/>
    <x v="1"/>
    <x v="59"/>
  </r>
  <r>
    <n v="242"/>
    <d v="2011-01-11T00:00:00"/>
    <n v="1"/>
    <n v="0"/>
    <n v="1"/>
    <n v="10"/>
    <b v="0"/>
    <n v="2"/>
    <n v="2"/>
    <n v="0.2"/>
    <x v="1"/>
    <x v="0"/>
    <x v="1"/>
    <x v="16"/>
  </r>
  <r>
    <n v="243"/>
    <d v="2011-01-11T00:00:00"/>
    <n v="1"/>
    <n v="0"/>
    <n v="1"/>
    <n v="11"/>
    <b v="0"/>
    <n v="2"/>
    <n v="2"/>
    <n v="0.2"/>
    <x v="1"/>
    <x v="0"/>
    <x v="1"/>
    <x v="51"/>
  </r>
  <r>
    <n v="244"/>
    <d v="2011-01-11T00:00:00"/>
    <n v="1"/>
    <n v="0"/>
    <n v="1"/>
    <n v="12"/>
    <b v="0"/>
    <n v="2"/>
    <n v="2"/>
    <n v="0.2"/>
    <x v="1"/>
    <x v="1"/>
    <x v="1"/>
    <x v="45"/>
  </r>
  <r>
    <n v="245"/>
    <d v="2011-01-11T00:00:00"/>
    <n v="1"/>
    <n v="0"/>
    <n v="1"/>
    <n v="13"/>
    <b v="0"/>
    <n v="2"/>
    <n v="2"/>
    <n v="0.2"/>
    <x v="1"/>
    <x v="1"/>
    <x v="1"/>
    <x v="54"/>
  </r>
  <r>
    <n v="246"/>
    <d v="2011-01-11T00:00:00"/>
    <n v="1"/>
    <n v="0"/>
    <n v="1"/>
    <n v="14"/>
    <b v="0"/>
    <n v="2"/>
    <n v="2"/>
    <n v="0.2"/>
    <x v="1"/>
    <x v="1"/>
    <x v="1"/>
    <x v="105"/>
  </r>
  <r>
    <n v="247"/>
    <d v="2011-01-11T00:00:00"/>
    <n v="1"/>
    <n v="0"/>
    <n v="1"/>
    <n v="15"/>
    <b v="0"/>
    <n v="2"/>
    <n v="2"/>
    <n v="0.16"/>
    <x v="1"/>
    <x v="1"/>
    <x v="1"/>
    <x v="30"/>
  </r>
  <r>
    <n v="248"/>
    <d v="2011-01-11T00:00:00"/>
    <n v="1"/>
    <n v="0"/>
    <n v="1"/>
    <n v="16"/>
    <b v="0"/>
    <n v="2"/>
    <n v="2"/>
    <n v="0.16"/>
    <x v="1"/>
    <x v="1"/>
    <x v="1"/>
    <x v="114"/>
  </r>
  <r>
    <n v="249"/>
    <d v="2011-01-11T00:00:00"/>
    <n v="1"/>
    <n v="0"/>
    <n v="1"/>
    <n v="17"/>
    <b v="0"/>
    <n v="2"/>
    <n v="2"/>
    <n v="0.16"/>
    <x v="1"/>
    <x v="1"/>
    <x v="1"/>
    <x v="75"/>
  </r>
  <r>
    <n v="250"/>
    <d v="2011-01-11T00:00:00"/>
    <n v="1"/>
    <n v="0"/>
    <n v="1"/>
    <n v="18"/>
    <b v="0"/>
    <n v="2"/>
    <n v="3"/>
    <n v="0.16"/>
    <x v="1"/>
    <x v="2"/>
    <x v="2"/>
    <x v="40"/>
  </r>
  <r>
    <n v="251"/>
    <d v="2011-01-11T00:00:00"/>
    <n v="1"/>
    <n v="0"/>
    <n v="1"/>
    <n v="19"/>
    <b v="0"/>
    <n v="2"/>
    <n v="3"/>
    <n v="0.16"/>
    <x v="1"/>
    <x v="2"/>
    <x v="2"/>
    <x v="1"/>
  </r>
  <r>
    <n v="252"/>
    <d v="2011-01-11T00:00:00"/>
    <n v="1"/>
    <n v="0"/>
    <n v="1"/>
    <n v="20"/>
    <b v="0"/>
    <n v="2"/>
    <n v="3"/>
    <n v="0.16"/>
    <x v="1"/>
    <x v="2"/>
    <x v="2"/>
    <x v="24"/>
  </r>
  <r>
    <n v="253"/>
    <d v="2011-01-11T00:00:00"/>
    <n v="1"/>
    <n v="0"/>
    <n v="1"/>
    <n v="21"/>
    <b v="0"/>
    <n v="2"/>
    <n v="3"/>
    <n v="0.16"/>
    <x v="1"/>
    <x v="2"/>
    <x v="2"/>
    <x v="115"/>
  </r>
  <r>
    <n v="254"/>
    <d v="2011-01-11T00:00:00"/>
    <n v="1"/>
    <n v="0"/>
    <n v="1"/>
    <n v="22"/>
    <b v="0"/>
    <n v="2"/>
    <n v="3"/>
    <n v="0.16"/>
    <x v="1"/>
    <x v="2"/>
    <x v="2"/>
    <x v="74"/>
  </r>
  <r>
    <n v="255"/>
    <d v="2011-01-11T00:00:00"/>
    <n v="1"/>
    <n v="0"/>
    <n v="1"/>
    <n v="23"/>
    <b v="0"/>
    <n v="2"/>
    <n v="3"/>
    <n v="0.16"/>
    <x v="1"/>
    <x v="2"/>
    <x v="2"/>
    <x v="84"/>
  </r>
  <r>
    <n v="256"/>
    <d v="2011-01-12T00:00:00"/>
    <n v="1"/>
    <n v="0"/>
    <n v="1"/>
    <n v="0"/>
    <b v="0"/>
    <n v="3"/>
    <n v="2"/>
    <n v="0.16"/>
    <x v="1"/>
    <x v="0"/>
    <x v="1"/>
    <x v="23"/>
  </r>
  <r>
    <n v="257"/>
    <d v="2011-01-12T00:00:00"/>
    <n v="1"/>
    <n v="0"/>
    <n v="1"/>
    <n v="1"/>
    <b v="0"/>
    <n v="3"/>
    <n v="2"/>
    <n v="0.16"/>
    <x v="1"/>
    <x v="0"/>
    <x v="1"/>
    <x v="3"/>
  </r>
  <r>
    <n v="258"/>
    <d v="2011-01-12T00:00:00"/>
    <n v="1"/>
    <n v="0"/>
    <n v="1"/>
    <n v="2"/>
    <b v="0"/>
    <n v="3"/>
    <n v="1"/>
    <n v="0.14000000000000001"/>
    <x v="1"/>
    <x v="0"/>
    <x v="0"/>
    <x v="35"/>
  </r>
  <r>
    <n v="259"/>
    <d v="2011-01-12T00:00:00"/>
    <n v="1"/>
    <n v="0"/>
    <n v="1"/>
    <n v="5"/>
    <b v="0"/>
    <n v="3"/>
    <n v="1"/>
    <n v="0.14000000000000001"/>
    <x v="1"/>
    <x v="0"/>
    <x v="0"/>
    <x v="94"/>
  </r>
  <r>
    <n v="260"/>
    <d v="2011-01-12T00:00:00"/>
    <n v="1"/>
    <n v="0"/>
    <n v="1"/>
    <n v="6"/>
    <b v="0"/>
    <n v="3"/>
    <n v="1"/>
    <n v="0.12"/>
    <x v="1"/>
    <x v="0"/>
    <x v="0"/>
    <x v="59"/>
  </r>
  <r>
    <n v="261"/>
    <d v="2011-01-12T00:00:00"/>
    <n v="1"/>
    <n v="0"/>
    <n v="1"/>
    <n v="7"/>
    <b v="0"/>
    <n v="3"/>
    <n v="1"/>
    <n v="0.14000000000000001"/>
    <x v="1"/>
    <x v="0"/>
    <x v="0"/>
    <x v="116"/>
  </r>
  <r>
    <n v="262"/>
    <d v="2011-01-12T00:00:00"/>
    <n v="1"/>
    <n v="0"/>
    <n v="1"/>
    <n v="8"/>
    <b v="0"/>
    <n v="3"/>
    <n v="1"/>
    <n v="0.16"/>
    <x v="1"/>
    <x v="0"/>
    <x v="0"/>
    <x v="117"/>
  </r>
  <r>
    <n v="263"/>
    <d v="2011-01-12T00:00:00"/>
    <n v="1"/>
    <n v="0"/>
    <n v="1"/>
    <n v="9"/>
    <b v="0"/>
    <n v="3"/>
    <n v="1"/>
    <n v="0.16"/>
    <x v="1"/>
    <x v="0"/>
    <x v="0"/>
    <x v="20"/>
  </r>
  <r>
    <n v="264"/>
    <d v="2011-01-12T00:00:00"/>
    <n v="1"/>
    <n v="0"/>
    <n v="1"/>
    <n v="10"/>
    <b v="0"/>
    <n v="3"/>
    <n v="1"/>
    <n v="0.18"/>
    <x v="1"/>
    <x v="0"/>
    <x v="0"/>
    <x v="16"/>
  </r>
  <r>
    <n v="265"/>
    <d v="2011-01-12T00:00:00"/>
    <n v="1"/>
    <n v="0"/>
    <n v="1"/>
    <n v="11"/>
    <b v="0"/>
    <n v="3"/>
    <n v="1"/>
    <n v="0.2"/>
    <x v="1"/>
    <x v="0"/>
    <x v="0"/>
    <x v="97"/>
  </r>
  <r>
    <n v="266"/>
    <d v="2011-01-12T00:00:00"/>
    <n v="1"/>
    <n v="0"/>
    <n v="1"/>
    <n v="12"/>
    <b v="0"/>
    <n v="3"/>
    <n v="1"/>
    <n v="0.2"/>
    <x v="1"/>
    <x v="1"/>
    <x v="0"/>
    <x v="99"/>
  </r>
  <r>
    <n v="267"/>
    <d v="2011-01-12T00:00:00"/>
    <n v="1"/>
    <n v="0"/>
    <n v="1"/>
    <n v="13"/>
    <b v="0"/>
    <n v="3"/>
    <n v="1"/>
    <n v="0.22"/>
    <x v="1"/>
    <x v="1"/>
    <x v="0"/>
    <x v="39"/>
  </r>
  <r>
    <n v="268"/>
    <d v="2011-01-12T00:00:00"/>
    <n v="1"/>
    <n v="0"/>
    <n v="1"/>
    <n v="14"/>
    <b v="0"/>
    <n v="3"/>
    <n v="1"/>
    <n v="0.2"/>
    <x v="1"/>
    <x v="1"/>
    <x v="0"/>
    <x v="99"/>
  </r>
  <r>
    <n v="269"/>
    <d v="2011-01-12T00:00:00"/>
    <n v="1"/>
    <n v="0"/>
    <n v="1"/>
    <n v="15"/>
    <b v="0"/>
    <n v="3"/>
    <n v="1"/>
    <n v="0.2"/>
    <x v="1"/>
    <x v="1"/>
    <x v="0"/>
    <x v="118"/>
  </r>
  <r>
    <n v="270"/>
    <d v="2011-01-12T00:00:00"/>
    <n v="1"/>
    <n v="0"/>
    <n v="1"/>
    <n v="16"/>
    <b v="0"/>
    <n v="3"/>
    <n v="1"/>
    <n v="0.22"/>
    <x v="1"/>
    <x v="1"/>
    <x v="0"/>
    <x v="119"/>
  </r>
  <r>
    <n v="271"/>
    <d v="2011-01-12T00:00:00"/>
    <n v="1"/>
    <n v="0"/>
    <n v="1"/>
    <n v="17"/>
    <b v="0"/>
    <n v="3"/>
    <n v="1"/>
    <n v="0.2"/>
    <x v="1"/>
    <x v="1"/>
    <x v="0"/>
    <x v="120"/>
  </r>
  <r>
    <n v="272"/>
    <d v="2011-01-12T00:00:00"/>
    <n v="1"/>
    <n v="0"/>
    <n v="1"/>
    <n v="18"/>
    <b v="0"/>
    <n v="3"/>
    <n v="1"/>
    <n v="0.2"/>
    <x v="1"/>
    <x v="2"/>
    <x v="0"/>
    <x v="55"/>
  </r>
  <r>
    <n v="273"/>
    <d v="2011-01-12T00:00:00"/>
    <n v="1"/>
    <n v="0"/>
    <n v="1"/>
    <n v="19"/>
    <b v="0"/>
    <n v="3"/>
    <n v="1"/>
    <n v="0.18"/>
    <x v="1"/>
    <x v="2"/>
    <x v="0"/>
    <x v="9"/>
  </r>
  <r>
    <n v="274"/>
    <d v="2011-01-12T00:00:00"/>
    <n v="1"/>
    <n v="0"/>
    <n v="1"/>
    <n v="20"/>
    <b v="0"/>
    <n v="3"/>
    <n v="1"/>
    <n v="0.16"/>
    <x v="1"/>
    <x v="2"/>
    <x v="0"/>
    <x v="51"/>
  </r>
  <r>
    <n v="275"/>
    <d v="2011-01-12T00:00:00"/>
    <n v="1"/>
    <n v="0"/>
    <n v="1"/>
    <n v="21"/>
    <b v="0"/>
    <n v="3"/>
    <n v="1"/>
    <n v="0.16"/>
    <x v="1"/>
    <x v="2"/>
    <x v="0"/>
    <x v="62"/>
  </r>
  <r>
    <n v="276"/>
    <d v="2011-01-12T00:00:00"/>
    <n v="1"/>
    <n v="0"/>
    <n v="1"/>
    <n v="22"/>
    <b v="0"/>
    <n v="3"/>
    <n v="1"/>
    <n v="0.16"/>
    <x v="1"/>
    <x v="2"/>
    <x v="0"/>
    <x v="24"/>
  </r>
  <r>
    <n v="277"/>
    <d v="2011-01-12T00:00:00"/>
    <n v="1"/>
    <n v="0"/>
    <n v="1"/>
    <n v="23"/>
    <b v="0"/>
    <n v="3"/>
    <n v="1"/>
    <n v="0.14000000000000001"/>
    <x v="1"/>
    <x v="2"/>
    <x v="0"/>
    <x v="84"/>
  </r>
  <r>
    <n v="278"/>
    <d v="2011-01-13T00:00:00"/>
    <n v="1"/>
    <n v="0"/>
    <n v="1"/>
    <n v="0"/>
    <b v="0"/>
    <n v="4"/>
    <n v="1"/>
    <n v="0.14000000000000001"/>
    <x v="1"/>
    <x v="0"/>
    <x v="0"/>
    <x v="4"/>
  </r>
  <r>
    <n v="279"/>
    <d v="2011-01-13T00:00:00"/>
    <n v="1"/>
    <n v="0"/>
    <n v="1"/>
    <n v="1"/>
    <b v="0"/>
    <n v="4"/>
    <n v="1"/>
    <n v="0.14000000000000001"/>
    <x v="1"/>
    <x v="0"/>
    <x v="0"/>
    <x v="4"/>
  </r>
  <r>
    <n v="280"/>
    <d v="2011-01-13T00:00:00"/>
    <n v="1"/>
    <n v="0"/>
    <n v="1"/>
    <n v="2"/>
    <b v="0"/>
    <n v="4"/>
    <n v="1"/>
    <n v="0.14000000000000001"/>
    <x v="1"/>
    <x v="0"/>
    <x v="0"/>
    <x v="5"/>
  </r>
  <r>
    <n v="281"/>
    <d v="2011-01-13T00:00:00"/>
    <n v="1"/>
    <n v="0"/>
    <n v="1"/>
    <n v="3"/>
    <b v="0"/>
    <n v="4"/>
    <n v="1"/>
    <n v="0.14000000000000001"/>
    <x v="1"/>
    <x v="0"/>
    <x v="0"/>
    <x v="47"/>
  </r>
  <r>
    <n v="282"/>
    <d v="2011-01-13T00:00:00"/>
    <n v="1"/>
    <n v="0"/>
    <n v="1"/>
    <n v="4"/>
    <b v="0"/>
    <n v="4"/>
    <n v="1"/>
    <n v="0.14000000000000001"/>
    <x v="1"/>
    <x v="0"/>
    <x v="0"/>
    <x v="5"/>
  </r>
  <r>
    <n v="283"/>
    <d v="2011-01-13T00:00:00"/>
    <n v="1"/>
    <n v="0"/>
    <n v="1"/>
    <n v="5"/>
    <b v="0"/>
    <n v="4"/>
    <n v="1"/>
    <n v="0.14000000000000001"/>
    <x v="1"/>
    <x v="0"/>
    <x v="0"/>
    <x v="19"/>
  </r>
  <r>
    <n v="284"/>
    <d v="2011-01-13T00:00:00"/>
    <n v="1"/>
    <n v="0"/>
    <n v="1"/>
    <n v="6"/>
    <b v="0"/>
    <n v="4"/>
    <n v="1"/>
    <n v="0.12"/>
    <x v="1"/>
    <x v="0"/>
    <x v="0"/>
    <x v="43"/>
  </r>
  <r>
    <n v="285"/>
    <d v="2011-01-13T00:00:00"/>
    <n v="1"/>
    <n v="0"/>
    <n v="1"/>
    <n v="7"/>
    <b v="0"/>
    <n v="4"/>
    <n v="1"/>
    <n v="0.12"/>
    <x v="1"/>
    <x v="0"/>
    <x v="0"/>
    <x v="121"/>
  </r>
  <r>
    <n v="286"/>
    <d v="2011-01-13T00:00:00"/>
    <n v="1"/>
    <n v="0"/>
    <n v="1"/>
    <n v="8"/>
    <b v="0"/>
    <n v="4"/>
    <n v="1"/>
    <n v="0.14000000000000001"/>
    <x v="1"/>
    <x v="0"/>
    <x v="0"/>
    <x v="119"/>
  </r>
  <r>
    <n v="287"/>
    <d v="2011-01-13T00:00:00"/>
    <n v="1"/>
    <n v="0"/>
    <n v="1"/>
    <n v="9"/>
    <b v="0"/>
    <n v="4"/>
    <n v="1"/>
    <n v="0.14000000000000001"/>
    <x v="1"/>
    <x v="0"/>
    <x v="0"/>
    <x v="103"/>
  </r>
  <r>
    <n v="288"/>
    <d v="2011-01-13T00:00:00"/>
    <n v="1"/>
    <n v="0"/>
    <n v="1"/>
    <n v="10"/>
    <b v="0"/>
    <n v="4"/>
    <n v="2"/>
    <n v="0.16"/>
    <x v="1"/>
    <x v="0"/>
    <x v="1"/>
    <x v="17"/>
  </r>
  <r>
    <n v="289"/>
    <d v="2011-01-13T00:00:00"/>
    <n v="1"/>
    <n v="0"/>
    <n v="1"/>
    <n v="11"/>
    <b v="0"/>
    <n v="4"/>
    <n v="2"/>
    <n v="0.2"/>
    <x v="1"/>
    <x v="0"/>
    <x v="1"/>
    <x v="45"/>
  </r>
  <r>
    <n v="290"/>
    <d v="2011-01-13T00:00:00"/>
    <n v="1"/>
    <n v="0"/>
    <n v="1"/>
    <n v="12"/>
    <b v="0"/>
    <n v="4"/>
    <n v="1"/>
    <n v="0.2"/>
    <x v="1"/>
    <x v="1"/>
    <x v="0"/>
    <x v="55"/>
  </r>
  <r>
    <n v="291"/>
    <d v="2011-01-13T00:00:00"/>
    <n v="1"/>
    <n v="0"/>
    <n v="1"/>
    <n v="13"/>
    <b v="0"/>
    <n v="4"/>
    <n v="1"/>
    <n v="0.22"/>
    <x v="1"/>
    <x v="1"/>
    <x v="0"/>
    <x v="50"/>
  </r>
  <r>
    <n v="292"/>
    <d v="2011-01-13T00:00:00"/>
    <n v="1"/>
    <n v="0"/>
    <n v="1"/>
    <n v="14"/>
    <b v="0"/>
    <n v="4"/>
    <n v="1"/>
    <n v="0.22"/>
    <x v="1"/>
    <x v="1"/>
    <x v="0"/>
    <x v="122"/>
  </r>
  <r>
    <n v="293"/>
    <d v="2011-01-13T00:00:00"/>
    <n v="1"/>
    <n v="0"/>
    <n v="1"/>
    <n v="15"/>
    <b v="0"/>
    <n v="4"/>
    <n v="1"/>
    <n v="0.24"/>
    <x v="1"/>
    <x v="1"/>
    <x v="0"/>
    <x v="52"/>
  </r>
  <r>
    <n v="294"/>
    <d v="2011-01-13T00:00:00"/>
    <n v="1"/>
    <n v="0"/>
    <n v="1"/>
    <n v="16"/>
    <b v="0"/>
    <n v="4"/>
    <n v="1"/>
    <n v="0.24"/>
    <x v="1"/>
    <x v="1"/>
    <x v="0"/>
    <x v="123"/>
  </r>
  <r>
    <n v="295"/>
    <d v="2011-01-13T00:00:00"/>
    <n v="1"/>
    <n v="0"/>
    <n v="1"/>
    <n v="17"/>
    <b v="0"/>
    <n v="4"/>
    <n v="1"/>
    <n v="0.2"/>
    <x v="1"/>
    <x v="1"/>
    <x v="0"/>
    <x v="124"/>
  </r>
  <r>
    <n v="296"/>
    <d v="2011-01-13T00:00:00"/>
    <n v="1"/>
    <n v="0"/>
    <n v="1"/>
    <n v="18"/>
    <b v="0"/>
    <n v="4"/>
    <n v="1"/>
    <n v="0.2"/>
    <x v="1"/>
    <x v="2"/>
    <x v="0"/>
    <x v="111"/>
  </r>
  <r>
    <n v="297"/>
    <d v="2011-01-13T00:00:00"/>
    <n v="1"/>
    <n v="0"/>
    <n v="1"/>
    <n v="19"/>
    <b v="0"/>
    <n v="4"/>
    <n v="1"/>
    <n v="0.16"/>
    <x v="1"/>
    <x v="2"/>
    <x v="0"/>
    <x v="36"/>
  </r>
  <r>
    <n v="298"/>
    <d v="2011-01-13T00:00:00"/>
    <n v="1"/>
    <n v="0"/>
    <n v="1"/>
    <n v="20"/>
    <b v="0"/>
    <n v="4"/>
    <n v="1"/>
    <n v="0.16"/>
    <x v="1"/>
    <x v="2"/>
    <x v="0"/>
    <x v="0"/>
  </r>
  <r>
    <n v="299"/>
    <d v="2011-01-13T00:00:00"/>
    <n v="1"/>
    <n v="0"/>
    <n v="1"/>
    <n v="21"/>
    <b v="0"/>
    <n v="4"/>
    <n v="1"/>
    <n v="0.14000000000000001"/>
    <x v="1"/>
    <x v="2"/>
    <x v="0"/>
    <x v="32"/>
  </r>
  <r>
    <n v="300"/>
    <d v="2011-01-13T00:00:00"/>
    <n v="1"/>
    <n v="0"/>
    <n v="1"/>
    <n v="22"/>
    <b v="0"/>
    <n v="4"/>
    <n v="1"/>
    <n v="0.14000000000000001"/>
    <x v="1"/>
    <x v="2"/>
    <x v="0"/>
    <x v="92"/>
  </r>
  <r>
    <n v="301"/>
    <d v="2011-01-13T00:00:00"/>
    <n v="1"/>
    <n v="0"/>
    <n v="1"/>
    <n v="23"/>
    <b v="0"/>
    <n v="4"/>
    <n v="1"/>
    <n v="0.12"/>
    <x v="1"/>
    <x v="2"/>
    <x v="0"/>
    <x v="7"/>
  </r>
  <r>
    <n v="302"/>
    <d v="2011-01-14T00:00:00"/>
    <n v="1"/>
    <n v="0"/>
    <n v="1"/>
    <n v="0"/>
    <b v="0"/>
    <n v="5"/>
    <n v="1"/>
    <n v="0.12"/>
    <x v="1"/>
    <x v="0"/>
    <x v="0"/>
    <x v="35"/>
  </r>
  <r>
    <n v="303"/>
    <d v="2011-01-14T00:00:00"/>
    <n v="1"/>
    <n v="0"/>
    <n v="1"/>
    <n v="1"/>
    <b v="0"/>
    <n v="5"/>
    <n v="1"/>
    <n v="0.1"/>
    <x v="1"/>
    <x v="0"/>
    <x v="0"/>
    <x v="3"/>
  </r>
  <r>
    <n v="304"/>
    <d v="2011-01-14T00:00:00"/>
    <n v="1"/>
    <n v="0"/>
    <n v="1"/>
    <n v="2"/>
    <b v="0"/>
    <n v="5"/>
    <n v="1"/>
    <n v="0.1"/>
    <x v="1"/>
    <x v="0"/>
    <x v="0"/>
    <x v="3"/>
  </r>
  <r>
    <n v="305"/>
    <d v="2011-01-14T00:00:00"/>
    <n v="1"/>
    <n v="0"/>
    <n v="1"/>
    <n v="3"/>
    <b v="0"/>
    <n v="5"/>
    <n v="1"/>
    <n v="0.1"/>
    <x v="1"/>
    <x v="0"/>
    <x v="0"/>
    <x v="6"/>
  </r>
  <r>
    <n v="306"/>
    <d v="2011-01-14T00:00:00"/>
    <n v="1"/>
    <n v="0"/>
    <n v="1"/>
    <n v="5"/>
    <b v="0"/>
    <n v="5"/>
    <n v="1"/>
    <n v="0.1"/>
    <x v="1"/>
    <x v="0"/>
    <x v="0"/>
    <x v="21"/>
  </r>
  <r>
    <n v="307"/>
    <d v="2011-01-14T00:00:00"/>
    <n v="1"/>
    <n v="0"/>
    <n v="1"/>
    <n v="6"/>
    <b v="0"/>
    <n v="5"/>
    <n v="1"/>
    <n v="0.1"/>
    <x v="1"/>
    <x v="0"/>
    <x v="0"/>
    <x v="26"/>
  </r>
  <r>
    <n v="308"/>
    <d v="2011-01-14T00:00:00"/>
    <n v="1"/>
    <n v="0"/>
    <n v="1"/>
    <n v="7"/>
    <b v="0"/>
    <n v="5"/>
    <n v="1"/>
    <n v="0.1"/>
    <x v="1"/>
    <x v="0"/>
    <x v="0"/>
    <x v="125"/>
  </r>
  <r>
    <n v="309"/>
    <d v="2011-01-14T00:00:00"/>
    <n v="1"/>
    <n v="0"/>
    <n v="1"/>
    <n v="8"/>
    <b v="0"/>
    <n v="5"/>
    <n v="1"/>
    <n v="0.12"/>
    <x v="1"/>
    <x v="0"/>
    <x v="0"/>
    <x v="126"/>
  </r>
  <r>
    <n v="310"/>
    <d v="2011-01-14T00:00:00"/>
    <n v="1"/>
    <n v="0"/>
    <n v="1"/>
    <n v="9"/>
    <b v="0"/>
    <n v="5"/>
    <n v="1"/>
    <n v="0.14000000000000001"/>
    <x v="1"/>
    <x v="0"/>
    <x v="0"/>
    <x v="39"/>
  </r>
  <r>
    <n v="311"/>
    <d v="2011-01-14T00:00:00"/>
    <n v="1"/>
    <n v="0"/>
    <n v="1"/>
    <n v="10"/>
    <b v="0"/>
    <n v="5"/>
    <n v="1"/>
    <n v="0.18"/>
    <x v="1"/>
    <x v="0"/>
    <x v="0"/>
    <x v="25"/>
  </r>
  <r>
    <n v="312"/>
    <d v="2011-01-14T00:00:00"/>
    <n v="1"/>
    <n v="0"/>
    <n v="1"/>
    <n v="11"/>
    <b v="0"/>
    <n v="5"/>
    <n v="1"/>
    <n v="0.18"/>
    <x v="1"/>
    <x v="0"/>
    <x v="0"/>
    <x v="41"/>
  </r>
  <r>
    <n v="313"/>
    <d v="2011-01-14T00:00:00"/>
    <n v="1"/>
    <n v="0"/>
    <n v="1"/>
    <n v="12"/>
    <b v="0"/>
    <n v="5"/>
    <n v="1"/>
    <n v="0.2"/>
    <x v="1"/>
    <x v="1"/>
    <x v="0"/>
    <x v="42"/>
  </r>
  <r>
    <n v="314"/>
    <d v="2011-01-14T00:00:00"/>
    <n v="1"/>
    <n v="0"/>
    <n v="1"/>
    <n v="13"/>
    <b v="0"/>
    <n v="5"/>
    <n v="1"/>
    <n v="0.22"/>
    <x v="1"/>
    <x v="1"/>
    <x v="0"/>
    <x v="36"/>
  </r>
  <r>
    <n v="315"/>
    <d v="2011-01-14T00:00:00"/>
    <n v="1"/>
    <n v="0"/>
    <n v="1"/>
    <n v="14"/>
    <b v="0"/>
    <n v="5"/>
    <n v="1"/>
    <n v="0.22"/>
    <x v="1"/>
    <x v="1"/>
    <x v="0"/>
    <x v="118"/>
  </r>
  <r>
    <n v="316"/>
    <d v="2011-01-14T00:00:00"/>
    <n v="1"/>
    <n v="0"/>
    <n v="1"/>
    <n v="15"/>
    <b v="0"/>
    <n v="5"/>
    <n v="1"/>
    <n v="0.24"/>
    <x v="1"/>
    <x v="1"/>
    <x v="0"/>
    <x v="127"/>
  </r>
  <r>
    <n v="317"/>
    <d v="2011-01-14T00:00:00"/>
    <n v="1"/>
    <n v="0"/>
    <n v="1"/>
    <n v="16"/>
    <b v="0"/>
    <n v="5"/>
    <n v="1"/>
    <n v="0.22"/>
    <x v="1"/>
    <x v="1"/>
    <x v="0"/>
    <x v="128"/>
  </r>
  <r>
    <n v="318"/>
    <d v="2011-01-14T00:00:00"/>
    <n v="1"/>
    <n v="0"/>
    <n v="1"/>
    <n v="17"/>
    <b v="0"/>
    <n v="5"/>
    <n v="1"/>
    <n v="0.22"/>
    <x v="1"/>
    <x v="1"/>
    <x v="0"/>
    <x v="119"/>
  </r>
  <r>
    <n v="319"/>
    <d v="2011-01-14T00:00:00"/>
    <n v="1"/>
    <n v="0"/>
    <n v="1"/>
    <n v="18"/>
    <b v="0"/>
    <n v="5"/>
    <n v="1"/>
    <n v="0.2"/>
    <x v="1"/>
    <x v="2"/>
    <x v="0"/>
    <x v="101"/>
  </r>
  <r>
    <n v="320"/>
    <d v="2011-01-14T00:00:00"/>
    <n v="1"/>
    <n v="0"/>
    <n v="1"/>
    <n v="19"/>
    <b v="0"/>
    <n v="5"/>
    <n v="1"/>
    <n v="0.16"/>
    <x v="1"/>
    <x v="2"/>
    <x v="0"/>
    <x v="118"/>
  </r>
  <r>
    <n v="321"/>
    <d v="2011-01-14T00:00:00"/>
    <n v="1"/>
    <n v="0"/>
    <n v="1"/>
    <n v="20"/>
    <b v="0"/>
    <n v="5"/>
    <n v="1"/>
    <n v="0.18"/>
    <x v="1"/>
    <x v="2"/>
    <x v="0"/>
    <x v="45"/>
  </r>
  <r>
    <n v="322"/>
    <d v="2011-01-14T00:00:00"/>
    <n v="1"/>
    <n v="0"/>
    <n v="1"/>
    <n v="21"/>
    <b v="0"/>
    <n v="5"/>
    <n v="1"/>
    <n v="0.16"/>
    <x v="1"/>
    <x v="2"/>
    <x v="0"/>
    <x v="8"/>
  </r>
  <r>
    <n v="323"/>
    <d v="2011-01-14T00:00:00"/>
    <n v="1"/>
    <n v="0"/>
    <n v="1"/>
    <n v="22"/>
    <b v="0"/>
    <n v="5"/>
    <n v="2"/>
    <n v="0.16"/>
    <x v="1"/>
    <x v="2"/>
    <x v="1"/>
    <x v="110"/>
  </r>
  <r>
    <n v="324"/>
    <d v="2011-01-14T00:00:00"/>
    <n v="1"/>
    <n v="0"/>
    <n v="1"/>
    <n v="23"/>
    <b v="0"/>
    <n v="5"/>
    <n v="2"/>
    <n v="0.18"/>
    <x v="1"/>
    <x v="2"/>
    <x v="1"/>
    <x v="19"/>
  </r>
  <r>
    <n v="325"/>
    <d v="2011-01-15T00:00:00"/>
    <n v="1"/>
    <n v="0"/>
    <n v="1"/>
    <n v="0"/>
    <b v="0"/>
    <n v="6"/>
    <n v="1"/>
    <n v="0.18"/>
    <x v="0"/>
    <x v="0"/>
    <x v="0"/>
    <x v="24"/>
  </r>
  <r>
    <n v="326"/>
    <d v="2011-01-15T00:00:00"/>
    <n v="1"/>
    <n v="0"/>
    <n v="1"/>
    <n v="1"/>
    <b v="0"/>
    <n v="6"/>
    <n v="2"/>
    <n v="0.16"/>
    <x v="0"/>
    <x v="0"/>
    <x v="1"/>
    <x v="46"/>
  </r>
  <r>
    <n v="327"/>
    <d v="2011-01-15T00:00:00"/>
    <n v="1"/>
    <n v="0"/>
    <n v="1"/>
    <n v="2"/>
    <b v="0"/>
    <n v="6"/>
    <n v="2"/>
    <n v="0.16"/>
    <x v="0"/>
    <x v="0"/>
    <x v="1"/>
    <x v="6"/>
  </r>
  <r>
    <n v="328"/>
    <d v="2011-01-15T00:00:00"/>
    <n v="1"/>
    <n v="0"/>
    <n v="1"/>
    <n v="3"/>
    <b v="0"/>
    <n v="6"/>
    <n v="2"/>
    <n v="0.16"/>
    <x v="0"/>
    <x v="0"/>
    <x v="1"/>
    <x v="35"/>
  </r>
  <r>
    <n v="329"/>
    <d v="2011-01-15T00:00:00"/>
    <n v="1"/>
    <n v="0"/>
    <n v="1"/>
    <n v="4"/>
    <b v="0"/>
    <n v="6"/>
    <n v="2"/>
    <n v="0.16"/>
    <x v="0"/>
    <x v="0"/>
    <x v="1"/>
    <x v="3"/>
  </r>
  <r>
    <n v="330"/>
    <d v="2011-01-15T00:00:00"/>
    <n v="1"/>
    <n v="0"/>
    <n v="1"/>
    <n v="5"/>
    <b v="0"/>
    <n v="6"/>
    <n v="1"/>
    <n v="0.16"/>
    <x v="0"/>
    <x v="0"/>
    <x v="0"/>
    <x v="5"/>
  </r>
  <r>
    <n v="331"/>
    <d v="2011-01-15T00:00:00"/>
    <n v="1"/>
    <n v="0"/>
    <n v="1"/>
    <n v="6"/>
    <b v="0"/>
    <n v="6"/>
    <n v="1"/>
    <n v="0.14000000000000001"/>
    <x v="0"/>
    <x v="0"/>
    <x v="0"/>
    <x v="98"/>
  </r>
  <r>
    <n v="332"/>
    <d v="2011-01-15T00:00:00"/>
    <n v="1"/>
    <n v="0"/>
    <n v="1"/>
    <n v="7"/>
    <b v="0"/>
    <n v="6"/>
    <n v="1"/>
    <n v="0.14000000000000001"/>
    <x v="0"/>
    <x v="0"/>
    <x v="0"/>
    <x v="83"/>
  </r>
  <r>
    <n v="333"/>
    <d v="2011-01-15T00:00:00"/>
    <n v="1"/>
    <n v="0"/>
    <n v="1"/>
    <n v="8"/>
    <b v="0"/>
    <n v="6"/>
    <n v="1"/>
    <n v="0.14000000000000001"/>
    <x v="0"/>
    <x v="0"/>
    <x v="0"/>
    <x v="62"/>
  </r>
  <r>
    <n v="334"/>
    <d v="2011-01-15T00:00:00"/>
    <n v="1"/>
    <n v="0"/>
    <n v="1"/>
    <n v="9"/>
    <b v="0"/>
    <n v="6"/>
    <n v="1"/>
    <n v="0.16"/>
    <x v="0"/>
    <x v="0"/>
    <x v="0"/>
    <x v="28"/>
  </r>
  <r>
    <n v="335"/>
    <d v="2011-01-15T00:00:00"/>
    <n v="1"/>
    <n v="0"/>
    <n v="1"/>
    <n v="10"/>
    <b v="0"/>
    <n v="6"/>
    <n v="1"/>
    <n v="0.18"/>
    <x v="0"/>
    <x v="0"/>
    <x v="0"/>
    <x v="43"/>
  </r>
  <r>
    <n v="336"/>
    <d v="2011-01-15T00:00:00"/>
    <n v="1"/>
    <n v="0"/>
    <n v="1"/>
    <n v="11"/>
    <b v="0"/>
    <n v="6"/>
    <n v="1"/>
    <n v="0.2"/>
    <x v="0"/>
    <x v="0"/>
    <x v="0"/>
    <x v="69"/>
  </r>
  <r>
    <n v="337"/>
    <d v="2011-01-15T00:00:00"/>
    <n v="1"/>
    <n v="0"/>
    <n v="1"/>
    <n v="12"/>
    <b v="0"/>
    <n v="6"/>
    <n v="1"/>
    <n v="0.24"/>
    <x v="0"/>
    <x v="1"/>
    <x v="0"/>
    <x v="129"/>
  </r>
  <r>
    <n v="338"/>
    <d v="2011-01-15T00:00:00"/>
    <n v="1"/>
    <n v="0"/>
    <n v="1"/>
    <n v="13"/>
    <b v="0"/>
    <n v="6"/>
    <n v="1"/>
    <n v="0.28000000000000003"/>
    <x v="0"/>
    <x v="1"/>
    <x v="0"/>
    <x v="130"/>
  </r>
  <r>
    <n v="339"/>
    <d v="2011-01-15T00:00:00"/>
    <n v="1"/>
    <n v="0"/>
    <n v="1"/>
    <n v="14"/>
    <b v="0"/>
    <n v="6"/>
    <n v="1"/>
    <n v="0.3"/>
    <x v="0"/>
    <x v="1"/>
    <x v="0"/>
    <x v="131"/>
  </r>
  <r>
    <n v="340"/>
    <d v="2011-01-15T00:00:00"/>
    <n v="1"/>
    <n v="0"/>
    <n v="1"/>
    <n v="15"/>
    <b v="0"/>
    <n v="6"/>
    <n v="2"/>
    <n v="0.32"/>
    <x v="0"/>
    <x v="1"/>
    <x v="1"/>
    <x v="116"/>
  </r>
  <r>
    <n v="341"/>
    <d v="2011-01-15T00:00:00"/>
    <n v="1"/>
    <n v="0"/>
    <n v="1"/>
    <n v="16"/>
    <b v="0"/>
    <n v="6"/>
    <n v="2"/>
    <n v="0.34"/>
    <x v="0"/>
    <x v="1"/>
    <x v="1"/>
    <x v="55"/>
  </r>
  <r>
    <n v="342"/>
    <d v="2011-01-15T00:00:00"/>
    <n v="1"/>
    <n v="0"/>
    <n v="1"/>
    <n v="17"/>
    <b v="0"/>
    <n v="6"/>
    <n v="2"/>
    <n v="0.32"/>
    <x v="0"/>
    <x v="1"/>
    <x v="1"/>
    <x v="10"/>
  </r>
  <r>
    <n v="343"/>
    <d v="2011-01-15T00:00:00"/>
    <n v="1"/>
    <n v="0"/>
    <n v="1"/>
    <n v="18"/>
    <b v="0"/>
    <n v="6"/>
    <n v="2"/>
    <n v="0.3"/>
    <x v="0"/>
    <x v="2"/>
    <x v="1"/>
    <x v="29"/>
  </r>
  <r>
    <n v="344"/>
    <d v="2011-01-15T00:00:00"/>
    <n v="1"/>
    <n v="0"/>
    <n v="1"/>
    <n v="19"/>
    <b v="0"/>
    <n v="6"/>
    <n v="2"/>
    <n v="0.32"/>
    <x v="0"/>
    <x v="2"/>
    <x v="1"/>
    <x v="102"/>
  </r>
  <r>
    <n v="345"/>
    <d v="2011-01-15T00:00:00"/>
    <n v="1"/>
    <n v="0"/>
    <n v="1"/>
    <n v="20"/>
    <b v="0"/>
    <n v="6"/>
    <n v="2"/>
    <n v="0.32"/>
    <x v="0"/>
    <x v="2"/>
    <x v="1"/>
    <x v="51"/>
  </r>
  <r>
    <n v="346"/>
    <d v="2011-01-15T00:00:00"/>
    <n v="1"/>
    <n v="0"/>
    <n v="1"/>
    <n v="21"/>
    <b v="0"/>
    <n v="6"/>
    <n v="2"/>
    <n v="0.32"/>
    <x v="0"/>
    <x v="2"/>
    <x v="1"/>
    <x v="132"/>
  </r>
  <r>
    <n v="347"/>
    <d v="2011-01-15T00:00:00"/>
    <n v="1"/>
    <n v="0"/>
    <n v="1"/>
    <n v="22"/>
    <b v="0"/>
    <n v="6"/>
    <n v="2"/>
    <n v="0.3"/>
    <x v="0"/>
    <x v="2"/>
    <x v="1"/>
    <x v="39"/>
  </r>
  <r>
    <n v="348"/>
    <d v="2011-01-15T00:00:00"/>
    <n v="1"/>
    <n v="0"/>
    <n v="1"/>
    <n v="23"/>
    <b v="0"/>
    <n v="6"/>
    <n v="1"/>
    <n v="0.3"/>
    <x v="0"/>
    <x v="2"/>
    <x v="0"/>
    <x v="20"/>
  </r>
  <r>
    <n v="349"/>
    <d v="2011-01-16T00:00:00"/>
    <n v="1"/>
    <n v="0"/>
    <n v="1"/>
    <n v="0"/>
    <b v="0"/>
    <n v="0"/>
    <n v="1"/>
    <n v="0.26"/>
    <x v="0"/>
    <x v="0"/>
    <x v="0"/>
    <x v="83"/>
  </r>
  <r>
    <n v="350"/>
    <d v="2011-01-16T00:00:00"/>
    <n v="1"/>
    <n v="0"/>
    <n v="1"/>
    <n v="1"/>
    <b v="0"/>
    <n v="0"/>
    <n v="1"/>
    <n v="0.26"/>
    <x v="0"/>
    <x v="0"/>
    <x v="0"/>
    <x v="94"/>
  </r>
  <r>
    <n v="351"/>
    <d v="2011-01-16T00:00:00"/>
    <n v="1"/>
    <n v="0"/>
    <n v="1"/>
    <n v="2"/>
    <b v="0"/>
    <n v="0"/>
    <n v="1"/>
    <n v="0.26"/>
    <x v="0"/>
    <x v="0"/>
    <x v="0"/>
    <x v="92"/>
  </r>
  <r>
    <n v="352"/>
    <d v="2011-01-16T00:00:00"/>
    <n v="1"/>
    <n v="0"/>
    <n v="1"/>
    <n v="3"/>
    <b v="0"/>
    <n v="0"/>
    <n v="1"/>
    <n v="0.22"/>
    <x v="0"/>
    <x v="0"/>
    <x v="0"/>
    <x v="3"/>
  </r>
  <r>
    <n v="353"/>
    <d v="2011-01-16T00:00:00"/>
    <n v="1"/>
    <n v="0"/>
    <n v="1"/>
    <n v="4"/>
    <b v="0"/>
    <n v="0"/>
    <n v="1"/>
    <n v="0.26"/>
    <x v="0"/>
    <x v="0"/>
    <x v="0"/>
    <x v="4"/>
  </r>
  <r>
    <n v="354"/>
    <d v="2011-01-16T00:00:00"/>
    <n v="1"/>
    <n v="0"/>
    <n v="1"/>
    <n v="5"/>
    <b v="0"/>
    <n v="0"/>
    <n v="2"/>
    <n v="0.26"/>
    <x v="0"/>
    <x v="0"/>
    <x v="1"/>
    <x v="3"/>
  </r>
  <r>
    <n v="355"/>
    <d v="2011-01-16T00:00:00"/>
    <n v="1"/>
    <n v="0"/>
    <n v="1"/>
    <n v="6"/>
    <b v="0"/>
    <n v="0"/>
    <n v="2"/>
    <n v="0.26"/>
    <x v="0"/>
    <x v="0"/>
    <x v="1"/>
    <x v="5"/>
  </r>
  <r>
    <n v="356"/>
    <d v="2011-01-16T00:00:00"/>
    <n v="1"/>
    <n v="0"/>
    <n v="1"/>
    <n v="7"/>
    <b v="0"/>
    <n v="0"/>
    <n v="2"/>
    <n v="0.24"/>
    <x v="0"/>
    <x v="0"/>
    <x v="1"/>
    <x v="109"/>
  </r>
  <r>
    <n v="357"/>
    <d v="2011-01-16T00:00:00"/>
    <n v="1"/>
    <n v="0"/>
    <n v="1"/>
    <n v="8"/>
    <b v="0"/>
    <n v="0"/>
    <n v="1"/>
    <n v="0.22"/>
    <x v="0"/>
    <x v="0"/>
    <x v="0"/>
    <x v="1"/>
  </r>
  <r>
    <n v="358"/>
    <d v="2011-01-16T00:00:00"/>
    <n v="1"/>
    <n v="0"/>
    <n v="1"/>
    <n v="9"/>
    <b v="0"/>
    <n v="0"/>
    <n v="1"/>
    <n v="0.22"/>
    <x v="0"/>
    <x v="0"/>
    <x v="0"/>
    <x v="66"/>
  </r>
  <r>
    <n v="359"/>
    <d v="2011-01-16T00:00:00"/>
    <n v="1"/>
    <n v="0"/>
    <n v="1"/>
    <n v="10"/>
    <b v="0"/>
    <n v="0"/>
    <n v="1"/>
    <n v="0.22"/>
    <x v="0"/>
    <x v="0"/>
    <x v="0"/>
    <x v="14"/>
  </r>
  <r>
    <n v="360"/>
    <d v="2011-01-16T00:00:00"/>
    <n v="1"/>
    <n v="0"/>
    <n v="1"/>
    <n v="11"/>
    <b v="0"/>
    <n v="0"/>
    <n v="1"/>
    <n v="0.24"/>
    <x v="0"/>
    <x v="0"/>
    <x v="0"/>
    <x v="133"/>
  </r>
  <r>
    <n v="361"/>
    <d v="2011-01-16T00:00:00"/>
    <n v="1"/>
    <n v="0"/>
    <n v="1"/>
    <n v="12"/>
    <b v="0"/>
    <n v="0"/>
    <n v="1"/>
    <n v="0.24"/>
    <x v="0"/>
    <x v="1"/>
    <x v="0"/>
    <x v="130"/>
  </r>
  <r>
    <n v="362"/>
    <d v="2011-01-16T00:00:00"/>
    <n v="1"/>
    <n v="0"/>
    <n v="1"/>
    <n v="13"/>
    <b v="0"/>
    <n v="0"/>
    <n v="1"/>
    <n v="0.26"/>
    <x v="0"/>
    <x v="1"/>
    <x v="0"/>
    <x v="134"/>
  </r>
  <r>
    <n v="363"/>
    <d v="2011-01-16T00:00:00"/>
    <n v="1"/>
    <n v="0"/>
    <n v="1"/>
    <n v="14"/>
    <b v="0"/>
    <n v="0"/>
    <n v="1"/>
    <n v="0.28000000000000003"/>
    <x v="0"/>
    <x v="1"/>
    <x v="0"/>
    <x v="135"/>
  </r>
  <r>
    <n v="364"/>
    <d v="2011-01-16T00:00:00"/>
    <n v="1"/>
    <n v="0"/>
    <n v="1"/>
    <n v="15"/>
    <b v="0"/>
    <n v="0"/>
    <n v="1"/>
    <n v="0.26"/>
    <x v="0"/>
    <x v="1"/>
    <x v="0"/>
    <x v="111"/>
  </r>
  <r>
    <n v="365"/>
    <d v="2011-01-16T00:00:00"/>
    <n v="1"/>
    <n v="0"/>
    <n v="1"/>
    <n v="16"/>
    <b v="0"/>
    <n v="0"/>
    <n v="1"/>
    <n v="0.24"/>
    <x v="0"/>
    <x v="1"/>
    <x v="0"/>
    <x v="136"/>
  </r>
  <r>
    <n v="366"/>
    <d v="2011-01-16T00:00:00"/>
    <n v="1"/>
    <n v="0"/>
    <n v="1"/>
    <n v="17"/>
    <b v="0"/>
    <n v="0"/>
    <n v="1"/>
    <n v="0.22"/>
    <x v="0"/>
    <x v="1"/>
    <x v="0"/>
    <x v="15"/>
  </r>
  <r>
    <n v="367"/>
    <d v="2011-01-16T00:00:00"/>
    <n v="1"/>
    <n v="0"/>
    <n v="1"/>
    <n v="18"/>
    <b v="0"/>
    <n v="0"/>
    <n v="1"/>
    <n v="0.2"/>
    <x v="0"/>
    <x v="2"/>
    <x v="0"/>
    <x v="41"/>
  </r>
  <r>
    <n v="368"/>
    <d v="2011-01-16T00:00:00"/>
    <n v="1"/>
    <n v="0"/>
    <n v="1"/>
    <n v="19"/>
    <b v="0"/>
    <n v="0"/>
    <n v="1"/>
    <n v="0.18"/>
    <x v="0"/>
    <x v="2"/>
    <x v="0"/>
    <x v="51"/>
  </r>
  <r>
    <n v="369"/>
    <d v="2011-01-16T00:00:00"/>
    <n v="1"/>
    <n v="0"/>
    <n v="1"/>
    <n v="20"/>
    <b v="0"/>
    <n v="0"/>
    <n v="1"/>
    <n v="0.18"/>
    <x v="0"/>
    <x v="2"/>
    <x v="0"/>
    <x v="19"/>
  </r>
  <r>
    <n v="370"/>
    <d v="2011-01-16T00:00:00"/>
    <n v="1"/>
    <n v="0"/>
    <n v="1"/>
    <n v="21"/>
    <b v="0"/>
    <n v="0"/>
    <n v="1"/>
    <n v="0.18"/>
    <x v="0"/>
    <x v="2"/>
    <x v="0"/>
    <x v="137"/>
  </r>
  <r>
    <n v="371"/>
    <d v="2011-01-16T00:00:00"/>
    <n v="1"/>
    <n v="0"/>
    <n v="1"/>
    <n v="22"/>
    <b v="0"/>
    <n v="0"/>
    <n v="2"/>
    <n v="0.2"/>
    <x v="0"/>
    <x v="2"/>
    <x v="1"/>
    <x v="109"/>
  </r>
  <r>
    <n v="372"/>
    <d v="2011-01-16T00:00:00"/>
    <n v="1"/>
    <n v="0"/>
    <n v="1"/>
    <n v="23"/>
    <b v="0"/>
    <n v="0"/>
    <n v="2"/>
    <n v="0.2"/>
    <x v="0"/>
    <x v="2"/>
    <x v="1"/>
    <x v="21"/>
  </r>
  <r>
    <n v="373"/>
    <d v="2011-01-17T00:00:00"/>
    <n v="1"/>
    <n v="0"/>
    <n v="1"/>
    <n v="0"/>
    <b v="1"/>
    <n v="1"/>
    <n v="2"/>
    <n v="0.2"/>
    <x v="1"/>
    <x v="0"/>
    <x v="1"/>
    <x v="94"/>
  </r>
  <r>
    <n v="374"/>
    <d v="2011-01-17T00:00:00"/>
    <n v="1"/>
    <n v="0"/>
    <n v="1"/>
    <n v="1"/>
    <b v="1"/>
    <n v="1"/>
    <n v="2"/>
    <n v="0.2"/>
    <x v="1"/>
    <x v="0"/>
    <x v="1"/>
    <x v="6"/>
  </r>
  <r>
    <n v="375"/>
    <d v="2011-01-17T00:00:00"/>
    <n v="1"/>
    <n v="0"/>
    <n v="1"/>
    <n v="2"/>
    <b v="1"/>
    <n v="1"/>
    <n v="2"/>
    <n v="0.18"/>
    <x v="1"/>
    <x v="0"/>
    <x v="1"/>
    <x v="4"/>
  </r>
  <r>
    <n v="376"/>
    <d v="2011-01-17T00:00:00"/>
    <n v="1"/>
    <n v="0"/>
    <n v="1"/>
    <n v="3"/>
    <b v="1"/>
    <n v="1"/>
    <n v="2"/>
    <n v="0.18"/>
    <x v="1"/>
    <x v="0"/>
    <x v="1"/>
    <x v="5"/>
  </r>
  <r>
    <n v="377"/>
    <d v="2011-01-17T00:00:00"/>
    <n v="1"/>
    <n v="0"/>
    <n v="1"/>
    <n v="4"/>
    <b v="1"/>
    <n v="1"/>
    <n v="2"/>
    <n v="0.18"/>
    <x v="1"/>
    <x v="0"/>
    <x v="1"/>
    <x v="3"/>
  </r>
  <r>
    <n v="378"/>
    <d v="2011-01-17T00:00:00"/>
    <n v="1"/>
    <n v="0"/>
    <n v="1"/>
    <n v="5"/>
    <b v="1"/>
    <n v="1"/>
    <n v="2"/>
    <n v="0.18"/>
    <x v="1"/>
    <x v="0"/>
    <x v="1"/>
    <x v="35"/>
  </r>
  <r>
    <n v="379"/>
    <d v="2011-01-17T00:00:00"/>
    <n v="1"/>
    <n v="0"/>
    <n v="1"/>
    <n v="6"/>
    <b v="1"/>
    <n v="1"/>
    <n v="2"/>
    <n v="0.18"/>
    <x v="1"/>
    <x v="0"/>
    <x v="1"/>
    <x v="2"/>
  </r>
  <r>
    <n v="380"/>
    <d v="2011-01-17T00:00:00"/>
    <n v="1"/>
    <n v="0"/>
    <n v="1"/>
    <n v="7"/>
    <b v="1"/>
    <n v="1"/>
    <n v="2"/>
    <n v="0.16"/>
    <x v="1"/>
    <x v="0"/>
    <x v="1"/>
    <x v="62"/>
  </r>
  <r>
    <n v="381"/>
    <d v="2011-01-17T00:00:00"/>
    <n v="1"/>
    <n v="0"/>
    <n v="1"/>
    <n v="8"/>
    <b v="1"/>
    <n v="1"/>
    <n v="2"/>
    <n v="0.16"/>
    <x v="1"/>
    <x v="0"/>
    <x v="1"/>
    <x v="105"/>
  </r>
  <r>
    <n v="382"/>
    <d v="2011-01-17T00:00:00"/>
    <n v="1"/>
    <n v="0"/>
    <n v="1"/>
    <n v="9"/>
    <b v="1"/>
    <n v="1"/>
    <n v="2"/>
    <n v="0.16"/>
    <x v="1"/>
    <x v="0"/>
    <x v="1"/>
    <x v="51"/>
  </r>
  <r>
    <n v="383"/>
    <d v="2011-01-17T00:00:00"/>
    <n v="1"/>
    <n v="0"/>
    <n v="1"/>
    <n v="10"/>
    <b v="1"/>
    <n v="1"/>
    <n v="2"/>
    <n v="0.16"/>
    <x v="1"/>
    <x v="0"/>
    <x v="1"/>
    <x v="36"/>
  </r>
  <r>
    <n v="384"/>
    <d v="2011-01-17T00:00:00"/>
    <n v="1"/>
    <n v="0"/>
    <n v="1"/>
    <n v="11"/>
    <b v="1"/>
    <n v="1"/>
    <n v="2"/>
    <n v="0.16"/>
    <x v="1"/>
    <x v="0"/>
    <x v="1"/>
    <x v="138"/>
  </r>
  <r>
    <n v="385"/>
    <d v="2011-01-17T00:00:00"/>
    <n v="1"/>
    <n v="0"/>
    <n v="1"/>
    <n v="12"/>
    <b v="1"/>
    <n v="1"/>
    <n v="2"/>
    <n v="0.18"/>
    <x v="1"/>
    <x v="1"/>
    <x v="1"/>
    <x v="14"/>
  </r>
  <r>
    <n v="386"/>
    <d v="2011-01-17T00:00:00"/>
    <n v="1"/>
    <n v="0"/>
    <n v="1"/>
    <n v="13"/>
    <b v="1"/>
    <n v="1"/>
    <n v="2"/>
    <n v="0.18"/>
    <x v="1"/>
    <x v="1"/>
    <x v="1"/>
    <x v="79"/>
  </r>
  <r>
    <n v="387"/>
    <d v="2011-01-17T00:00:00"/>
    <n v="1"/>
    <n v="0"/>
    <n v="1"/>
    <n v="14"/>
    <b v="1"/>
    <n v="1"/>
    <n v="2"/>
    <n v="0.18"/>
    <x v="1"/>
    <x v="1"/>
    <x v="1"/>
    <x v="14"/>
  </r>
  <r>
    <n v="388"/>
    <d v="2011-01-17T00:00:00"/>
    <n v="1"/>
    <n v="0"/>
    <n v="1"/>
    <n v="15"/>
    <b v="1"/>
    <n v="1"/>
    <n v="2"/>
    <n v="0.2"/>
    <x v="1"/>
    <x v="1"/>
    <x v="1"/>
    <x v="100"/>
  </r>
  <r>
    <n v="389"/>
    <d v="2011-01-17T00:00:00"/>
    <n v="1"/>
    <n v="0"/>
    <n v="1"/>
    <n v="16"/>
    <b v="1"/>
    <n v="1"/>
    <n v="2"/>
    <n v="0.2"/>
    <x v="1"/>
    <x v="1"/>
    <x v="1"/>
    <x v="67"/>
  </r>
  <r>
    <n v="390"/>
    <d v="2011-01-17T00:00:00"/>
    <n v="1"/>
    <n v="0"/>
    <n v="1"/>
    <n v="17"/>
    <b v="1"/>
    <n v="1"/>
    <n v="1"/>
    <n v="0.2"/>
    <x v="1"/>
    <x v="1"/>
    <x v="0"/>
    <x v="101"/>
  </r>
  <r>
    <n v="391"/>
    <d v="2011-01-17T00:00:00"/>
    <n v="1"/>
    <n v="0"/>
    <n v="1"/>
    <n v="18"/>
    <b v="1"/>
    <n v="1"/>
    <n v="2"/>
    <n v="0.18"/>
    <x v="1"/>
    <x v="2"/>
    <x v="1"/>
    <x v="122"/>
  </r>
  <r>
    <n v="392"/>
    <d v="2011-01-17T00:00:00"/>
    <n v="1"/>
    <n v="0"/>
    <n v="1"/>
    <n v="19"/>
    <b v="1"/>
    <n v="1"/>
    <n v="3"/>
    <n v="0.18"/>
    <x v="1"/>
    <x v="2"/>
    <x v="2"/>
    <x v="62"/>
  </r>
  <r>
    <n v="393"/>
    <d v="2011-01-17T00:00:00"/>
    <n v="1"/>
    <n v="0"/>
    <n v="1"/>
    <n v="20"/>
    <b v="1"/>
    <n v="1"/>
    <n v="3"/>
    <n v="0.16"/>
    <x v="1"/>
    <x v="2"/>
    <x v="2"/>
    <x v="110"/>
  </r>
  <r>
    <n v="394"/>
    <d v="2011-01-17T00:00:00"/>
    <n v="1"/>
    <n v="0"/>
    <n v="1"/>
    <n v="21"/>
    <b v="1"/>
    <n v="1"/>
    <n v="3"/>
    <n v="0.16"/>
    <x v="1"/>
    <x v="2"/>
    <x v="2"/>
    <x v="2"/>
  </r>
  <r>
    <n v="395"/>
    <d v="2011-01-17T00:00:00"/>
    <n v="1"/>
    <n v="0"/>
    <n v="1"/>
    <n v="22"/>
    <b v="1"/>
    <n v="1"/>
    <n v="3"/>
    <n v="0.14000000000000001"/>
    <x v="1"/>
    <x v="2"/>
    <x v="2"/>
    <x v="47"/>
  </r>
  <r>
    <n v="396"/>
    <d v="2011-01-17T00:00:00"/>
    <n v="1"/>
    <n v="0"/>
    <n v="1"/>
    <n v="23"/>
    <b v="1"/>
    <n v="1"/>
    <n v="3"/>
    <n v="0.16"/>
    <x v="1"/>
    <x v="2"/>
    <x v="2"/>
    <x v="5"/>
  </r>
  <r>
    <n v="397"/>
    <d v="2011-01-18T00:00:00"/>
    <n v="1"/>
    <n v="0"/>
    <n v="1"/>
    <n v="12"/>
    <b v="0"/>
    <n v="2"/>
    <n v="2"/>
    <n v="0.2"/>
    <x v="1"/>
    <x v="1"/>
    <x v="1"/>
    <x v="33"/>
  </r>
  <r>
    <n v="398"/>
    <d v="2011-01-18T00:00:00"/>
    <n v="1"/>
    <n v="0"/>
    <n v="1"/>
    <n v="13"/>
    <b v="0"/>
    <n v="2"/>
    <n v="2"/>
    <n v="0.2"/>
    <x v="1"/>
    <x v="1"/>
    <x v="1"/>
    <x v="19"/>
  </r>
  <r>
    <n v="399"/>
    <d v="2011-01-18T00:00:00"/>
    <n v="1"/>
    <n v="0"/>
    <n v="1"/>
    <n v="14"/>
    <b v="0"/>
    <n v="2"/>
    <n v="2"/>
    <n v="0.22"/>
    <x v="1"/>
    <x v="1"/>
    <x v="1"/>
    <x v="16"/>
  </r>
  <r>
    <n v="400"/>
    <d v="2011-01-18T00:00:00"/>
    <n v="1"/>
    <n v="0"/>
    <n v="1"/>
    <n v="15"/>
    <b v="0"/>
    <n v="2"/>
    <n v="2"/>
    <n v="0.22"/>
    <x v="1"/>
    <x v="1"/>
    <x v="1"/>
    <x v="41"/>
  </r>
  <r>
    <n v="401"/>
    <d v="2011-01-18T00:00:00"/>
    <n v="1"/>
    <n v="0"/>
    <n v="1"/>
    <n v="16"/>
    <b v="0"/>
    <n v="2"/>
    <n v="2"/>
    <n v="0.22"/>
    <x v="1"/>
    <x v="1"/>
    <x v="1"/>
    <x v="139"/>
  </r>
  <r>
    <n v="402"/>
    <d v="2011-01-18T00:00:00"/>
    <n v="1"/>
    <n v="0"/>
    <n v="1"/>
    <n v="17"/>
    <b v="0"/>
    <n v="2"/>
    <n v="2"/>
    <n v="0.22"/>
    <x v="1"/>
    <x v="1"/>
    <x v="1"/>
    <x v="140"/>
  </r>
  <r>
    <n v="403"/>
    <d v="2011-01-18T00:00:00"/>
    <n v="1"/>
    <n v="0"/>
    <n v="1"/>
    <n v="18"/>
    <b v="0"/>
    <n v="2"/>
    <n v="2"/>
    <n v="0.22"/>
    <x v="1"/>
    <x v="2"/>
    <x v="1"/>
    <x v="111"/>
  </r>
  <r>
    <n v="404"/>
    <d v="2011-01-18T00:00:00"/>
    <n v="1"/>
    <n v="0"/>
    <n v="1"/>
    <n v="19"/>
    <b v="0"/>
    <n v="2"/>
    <n v="2"/>
    <n v="0.22"/>
    <x v="1"/>
    <x v="2"/>
    <x v="1"/>
    <x v="55"/>
  </r>
  <r>
    <n v="405"/>
    <d v="2011-01-18T00:00:00"/>
    <n v="1"/>
    <n v="0"/>
    <n v="1"/>
    <n v="20"/>
    <b v="0"/>
    <n v="2"/>
    <n v="2"/>
    <n v="0.22"/>
    <x v="1"/>
    <x v="2"/>
    <x v="1"/>
    <x v="102"/>
  </r>
  <r>
    <n v="406"/>
    <d v="2011-01-18T00:00:00"/>
    <n v="1"/>
    <n v="0"/>
    <n v="1"/>
    <n v="21"/>
    <b v="0"/>
    <n v="2"/>
    <n v="2"/>
    <n v="0.22"/>
    <x v="1"/>
    <x v="2"/>
    <x v="1"/>
    <x v="62"/>
  </r>
  <r>
    <n v="407"/>
    <d v="2011-01-18T00:00:00"/>
    <n v="1"/>
    <n v="0"/>
    <n v="1"/>
    <n v="22"/>
    <b v="0"/>
    <n v="2"/>
    <n v="2"/>
    <n v="0.22"/>
    <x v="1"/>
    <x v="2"/>
    <x v="1"/>
    <x v="24"/>
  </r>
  <r>
    <n v="408"/>
    <d v="2011-01-18T00:00:00"/>
    <n v="1"/>
    <n v="0"/>
    <n v="1"/>
    <n v="23"/>
    <b v="0"/>
    <n v="2"/>
    <n v="2"/>
    <n v="0.22"/>
    <x v="1"/>
    <x v="2"/>
    <x v="1"/>
    <x v="5"/>
  </r>
  <r>
    <n v="409"/>
    <d v="2011-01-19T00:00:00"/>
    <n v="1"/>
    <n v="0"/>
    <n v="1"/>
    <n v="0"/>
    <b v="0"/>
    <n v="3"/>
    <n v="2"/>
    <n v="0.22"/>
    <x v="1"/>
    <x v="0"/>
    <x v="1"/>
    <x v="84"/>
  </r>
  <r>
    <n v="410"/>
    <d v="2011-01-19T00:00:00"/>
    <n v="1"/>
    <n v="0"/>
    <n v="1"/>
    <n v="1"/>
    <b v="0"/>
    <n v="3"/>
    <n v="3"/>
    <n v="0.22"/>
    <x v="1"/>
    <x v="0"/>
    <x v="2"/>
    <x v="5"/>
  </r>
  <r>
    <n v="411"/>
    <d v="2011-01-19T00:00:00"/>
    <n v="1"/>
    <n v="0"/>
    <n v="1"/>
    <n v="2"/>
    <b v="0"/>
    <n v="3"/>
    <n v="3"/>
    <n v="0.22"/>
    <x v="1"/>
    <x v="0"/>
    <x v="2"/>
    <x v="4"/>
  </r>
  <r>
    <n v="412"/>
    <d v="2011-01-19T00:00:00"/>
    <n v="1"/>
    <n v="0"/>
    <n v="1"/>
    <n v="4"/>
    <b v="0"/>
    <n v="3"/>
    <n v="3"/>
    <n v="0.22"/>
    <x v="1"/>
    <x v="0"/>
    <x v="2"/>
    <x v="84"/>
  </r>
  <r>
    <n v="413"/>
    <d v="2011-01-19T00:00:00"/>
    <n v="1"/>
    <n v="0"/>
    <n v="1"/>
    <n v="5"/>
    <b v="0"/>
    <n v="3"/>
    <n v="2"/>
    <n v="0.22"/>
    <x v="1"/>
    <x v="0"/>
    <x v="1"/>
    <x v="1"/>
  </r>
  <r>
    <n v="414"/>
    <d v="2011-01-19T00:00:00"/>
    <n v="1"/>
    <n v="0"/>
    <n v="1"/>
    <n v="6"/>
    <b v="0"/>
    <n v="3"/>
    <n v="2"/>
    <n v="0.22"/>
    <x v="1"/>
    <x v="0"/>
    <x v="1"/>
    <x v="127"/>
  </r>
  <r>
    <n v="415"/>
    <d v="2011-01-19T00:00:00"/>
    <n v="1"/>
    <n v="0"/>
    <n v="1"/>
    <n v="7"/>
    <b v="0"/>
    <n v="3"/>
    <n v="2"/>
    <n v="0.24"/>
    <x v="1"/>
    <x v="0"/>
    <x v="1"/>
    <x v="141"/>
  </r>
  <r>
    <n v="416"/>
    <d v="2011-01-19T00:00:00"/>
    <n v="1"/>
    <n v="0"/>
    <n v="1"/>
    <n v="8"/>
    <b v="0"/>
    <n v="3"/>
    <n v="2"/>
    <n v="0.24"/>
    <x v="1"/>
    <x v="0"/>
    <x v="1"/>
    <x v="142"/>
  </r>
  <r>
    <n v="417"/>
    <d v="2011-01-19T00:00:00"/>
    <n v="1"/>
    <n v="0"/>
    <n v="1"/>
    <n v="9"/>
    <b v="0"/>
    <n v="3"/>
    <n v="2"/>
    <n v="0.24"/>
    <x v="1"/>
    <x v="0"/>
    <x v="1"/>
    <x v="105"/>
  </r>
  <r>
    <n v="418"/>
    <d v="2011-01-19T00:00:00"/>
    <n v="1"/>
    <n v="0"/>
    <n v="1"/>
    <n v="10"/>
    <b v="0"/>
    <n v="3"/>
    <n v="2"/>
    <n v="0.26"/>
    <x v="1"/>
    <x v="0"/>
    <x v="1"/>
    <x v="45"/>
  </r>
  <r>
    <n v="419"/>
    <d v="2011-01-19T00:00:00"/>
    <n v="1"/>
    <n v="0"/>
    <n v="1"/>
    <n v="11"/>
    <b v="0"/>
    <n v="3"/>
    <n v="2"/>
    <n v="0.28000000000000003"/>
    <x v="1"/>
    <x v="0"/>
    <x v="1"/>
    <x v="26"/>
  </r>
  <r>
    <n v="420"/>
    <d v="2011-01-19T00:00:00"/>
    <n v="1"/>
    <n v="0"/>
    <n v="1"/>
    <n v="12"/>
    <b v="0"/>
    <n v="3"/>
    <n v="2"/>
    <n v="0.3"/>
    <x v="1"/>
    <x v="1"/>
    <x v="1"/>
    <x v="52"/>
  </r>
  <r>
    <n v="421"/>
    <d v="2011-01-19T00:00:00"/>
    <n v="1"/>
    <n v="0"/>
    <n v="1"/>
    <n v="13"/>
    <b v="0"/>
    <n v="3"/>
    <n v="1"/>
    <n v="0.4"/>
    <x v="1"/>
    <x v="1"/>
    <x v="0"/>
    <x v="27"/>
  </r>
  <r>
    <n v="422"/>
    <d v="2011-01-19T00:00:00"/>
    <n v="1"/>
    <n v="0"/>
    <n v="1"/>
    <n v="14"/>
    <b v="0"/>
    <n v="3"/>
    <n v="1"/>
    <n v="0.4"/>
    <x v="1"/>
    <x v="1"/>
    <x v="0"/>
    <x v="100"/>
  </r>
  <r>
    <n v="423"/>
    <d v="2011-01-19T00:00:00"/>
    <n v="1"/>
    <n v="0"/>
    <n v="1"/>
    <n v="15"/>
    <b v="0"/>
    <n v="3"/>
    <n v="1"/>
    <n v="0.4"/>
    <x v="1"/>
    <x v="1"/>
    <x v="0"/>
    <x v="133"/>
  </r>
  <r>
    <n v="424"/>
    <d v="2011-01-19T00:00:00"/>
    <n v="1"/>
    <n v="0"/>
    <n v="1"/>
    <n v="16"/>
    <b v="0"/>
    <n v="3"/>
    <n v="1"/>
    <n v="0.38"/>
    <x v="1"/>
    <x v="1"/>
    <x v="0"/>
    <x v="141"/>
  </r>
  <r>
    <n v="425"/>
    <d v="2011-01-19T00:00:00"/>
    <n v="1"/>
    <n v="0"/>
    <n v="1"/>
    <n v="17"/>
    <b v="0"/>
    <n v="3"/>
    <n v="1"/>
    <n v="0.36"/>
    <x v="1"/>
    <x v="1"/>
    <x v="0"/>
    <x v="143"/>
  </r>
  <r>
    <n v="426"/>
    <d v="2011-01-19T00:00:00"/>
    <n v="1"/>
    <n v="0"/>
    <n v="1"/>
    <n v="18"/>
    <b v="0"/>
    <n v="3"/>
    <n v="1"/>
    <n v="0.34"/>
    <x v="1"/>
    <x v="2"/>
    <x v="0"/>
    <x v="58"/>
  </r>
  <r>
    <n v="427"/>
    <d v="2011-01-19T00:00:00"/>
    <n v="1"/>
    <n v="0"/>
    <n v="1"/>
    <n v="19"/>
    <b v="0"/>
    <n v="3"/>
    <n v="1"/>
    <n v="0.32"/>
    <x v="1"/>
    <x v="2"/>
    <x v="0"/>
    <x v="30"/>
  </r>
  <r>
    <n v="428"/>
    <d v="2011-01-19T00:00:00"/>
    <n v="1"/>
    <n v="0"/>
    <n v="1"/>
    <n v="20"/>
    <b v="0"/>
    <n v="3"/>
    <n v="1"/>
    <n v="0.32"/>
    <x v="1"/>
    <x v="2"/>
    <x v="0"/>
    <x v="28"/>
  </r>
  <r>
    <n v="429"/>
    <d v="2011-01-19T00:00:00"/>
    <n v="1"/>
    <n v="0"/>
    <n v="1"/>
    <n v="21"/>
    <b v="0"/>
    <n v="3"/>
    <n v="1"/>
    <n v="0.32"/>
    <x v="1"/>
    <x v="2"/>
    <x v="0"/>
    <x v="28"/>
  </r>
  <r>
    <n v="430"/>
    <d v="2011-01-19T00:00:00"/>
    <n v="1"/>
    <n v="0"/>
    <n v="1"/>
    <n v="22"/>
    <b v="0"/>
    <n v="3"/>
    <n v="1"/>
    <n v="0.3"/>
    <x v="1"/>
    <x v="2"/>
    <x v="0"/>
    <x v="19"/>
  </r>
  <r>
    <n v="431"/>
    <d v="2011-01-19T00:00:00"/>
    <n v="1"/>
    <n v="0"/>
    <n v="1"/>
    <n v="23"/>
    <b v="0"/>
    <n v="3"/>
    <n v="1"/>
    <n v="0.3"/>
    <x v="1"/>
    <x v="2"/>
    <x v="0"/>
    <x v="2"/>
  </r>
  <r>
    <n v="432"/>
    <d v="2011-01-20T00:00:00"/>
    <n v="1"/>
    <n v="0"/>
    <n v="1"/>
    <n v="0"/>
    <b v="0"/>
    <n v="4"/>
    <n v="1"/>
    <n v="0.26"/>
    <x v="1"/>
    <x v="0"/>
    <x v="0"/>
    <x v="35"/>
  </r>
  <r>
    <n v="433"/>
    <d v="2011-01-20T00:00:00"/>
    <n v="1"/>
    <n v="0"/>
    <n v="1"/>
    <n v="1"/>
    <b v="0"/>
    <n v="4"/>
    <n v="1"/>
    <n v="0.26"/>
    <x v="1"/>
    <x v="0"/>
    <x v="0"/>
    <x v="4"/>
  </r>
  <r>
    <n v="434"/>
    <d v="2011-01-20T00:00:00"/>
    <n v="1"/>
    <n v="0"/>
    <n v="1"/>
    <n v="2"/>
    <b v="0"/>
    <n v="4"/>
    <n v="1"/>
    <n v="0.26"/>
    <x v="1"/>
    <x v="0"/>
    <x v="0"/>
    <x v="3"/>
  </r>
  <r>
    <n v="435"/>
    <d v="2011-01-20T00:00:00"/>
    <n v="1"/>
    <n v="0"/>
    <n v="1"/>
    <n v="3"/>
    <b v="0"/>
    <n v="4"/>
    <n v="1"/>
    <n v="0.26"/>
    <x v="1"/>
    <x v="0"/>
    <x v="0"/>
    <x v="3"/>
  </r>
  <r>
    <n v="436"/>
    <d v="2011-01-20T00:00:00"/>
    <n v="1"/>
    <n v="0"/>
    <n v="1"/>
    <n v="4"/>
    <b v="0"/>
    <n v="4"/>
    <n v="1"/>
    <n v="0.26"/>
    <x v="1"/>
    <x v="0"/>
    <x v="0"/>
    <x v="23"/>
  </r>
  <r>
    <n v="437"/>
    <d v="2011-01-20T00:00:00"/>
    <n v="1"/>
    <n v="0"/>
    <n v="1"/>
    <n v="5"/>
    <b v="0"/>
    <n v="4"/>
    <n v="1"/>
    <n v="0.24"/>
    <x v="1"/>
    <x v="0"/>
    <x v="0"/>
    <x v="16"/>
  </r>
  <r>
    <n v="438"/>
    <d v="2011-01-20T00:00:00"/>
    <n v="1"/>
    <n v="0"/>
    <n v="1"/>
    <n v="6"/>
    <b v="0"/>
    <n v="4"/>
    <n v="1"/>
    <n v="0.22"/>
    <x v="1"/>
    <x v="0"/>
    <x v="0"/>
    <x v="129"/>
  </r>
  <r>
    <n v="439"/>
    <d v="2011-01-20T00:00:00"/>
    <n v="1"/>
    <n v="0"/>
    <n v="1"/>
    <n v="7"/>
    <b v="0"/>
    <n v="4"/>
    <n v="1"/>
    <n v="0.22"/>
    <x v="1"/>
    <x v="0"/>
    <x v="0"/>
    <x v="144"/>
  </r>
  <r>
    <n v="440"/>
    <d v="2011-01-20T00:00:00"/>
    <n v="1"/>
    <n v="0"/>
    <n v="1"/>
    <n v="8"/>
    <b v="0"/>
    <n v="4"/>
    <n v="1"/>
    <n v="0.22"/>
    <x v="1"/>
    <x v="0"/>
    <x v="0"/>
    <x v="145"/>
  </r>
  <r>
    <n v="441"/>
    <d v="2011-01-20T00:00:00"/>
    <n v="1"/>
    <n v="0"/>
    <n v="1"/>
    <n v="9"/>
    <b v="0"/>
    <n v="4"/>
    <n v="2"/>
    <n v="0.24"/>
    <x v="1"/>
    <x v="0"/>
    <x v="1"/>
    <x v="51"/>
  </r>
  <r>
    <n v="442"/>
    <d v="2011-01-20T00:00:00"/>
    <n v="1"/>
    <n v="0"/>
    <n v="1"/>
    <n v="10"/>
    <b v="0"/>
    <n v="4"/>
    <n v="1"/>
    <n v="0.26"/>
    <x v="1"/>
    <x v="0"/>
    <x v="0"/>
    <x v="118"/>
  </r>
  <r>
    <n v="443"/>
    <d v="2011-01-20T00:00:00"/>
    <n v="1"/>
    <n v="0"/>
    <n v="1"/>
    <n v="11"/>
    <b v="0"/>
    <n v="4"/>
    <n v="2"/>
    <n v="0.28000000000000003"/>
    <x v="1"/>
    <x v="0"/>
    <x v="1"/>
    <x v="10"/>
  </r>
  <r>
    <n v="444"/>
    <d v="2011-01-20T00:00:00"/>
    <n v="1"/>
    <n v="0"/>
    <n v="1"/>
    <n v="12"/>
    <b v="0"/>
    <n v="4"/>
    <n v="2"/>
    <n v="0.3"/>
    <x v="1"/>
    <x v="1"/>
    <x v="1"/>
    <x v="95"/>
  </r>
  <r>
    <n v="445"/>
    <d v="2011-01-20T00:00:00"/>
    <n v="1"/>
    <n v="0"/>
    <n v="1"/>
    <n v="13"/>
    <b v="0"/>
    <n v="4"/>
    <n v="2"/>
    <n v="0.28000000000000003"/>
    <x v="1"/>
    <x v="1"/>
    <x v="1"/>
    <x v="117"/>
  </r>
  <r>
    <n v="446"/>
    <d v="2011-01-20T00:00:00"/>
    <n v="1"/>
    <n v="0"/>
    <n v="1"/>
    <n v="14"/>
    <b v="0"/>
    <n v="4"/>
    <n v="2"/>
    <n v="0.3"/>
    <x v="1"/>
    <x v="1"/>
    <x v="1"/>
    <x v="26"/>
  </r>
  <r>
    <n v="447"/>
    <d v="2011-01-20T00:00:00"/>
    <n v="1"/>
    <n v="0"/>
    <n v="1"/>
    <n v="15"/>
    <b v="0"/>
    <n v="4"/>
    <n v="2"/>
    <n v="0.32"/>
    <x v="1"/>
    <x v="1"/>
    <x v="1"/>
    <x v="134"/>
  </r>
  <r>
    <n v="448"/>
    <d v="2011-01-20T00:00:00"/>
    <n v="1"/>
    <n v="0"/>
    <n v="1"/>
    <n v="16"/>
    <b v="0"/>
    <n v="4"/>
    <n v="2"/>
    <n v="0.3"/>
    <x v="1"/>
    <x v="1"/>
    <x v="1"/>
    <x v="146"/>
  </r>
  <r>
    <n v="449"/>
    <d v="2011-01-20T00:00:00"/>
    <n v="1"/>
    <n v="0"/>
    <n v="1"/>
    <n v="17"/>
    <b v="0"/>
    <n v="4"/>
    <n v="2"/>
    <n v="0.3"/>
    <x v="1"/>
    <x v="1"/>
    <x v="1"/>
    <x v="147"/>
  </r>
  <r>
    <n v="450"/>
    <d v="2011-01-20T00:00:00"/>
    <n v="1"/>
    <n v="0"/>
    <n v="1"/>
    <n v="18"/>
    <b v="0"/>
    <n v="4"/>
    <n v="2"/>
    <n v="0.26"/>
    <x v="1"/>
    <x v="2"/>
    <x v="1"/>
    <x v="148"/>
  </r>
  <r>
    <n v="451"/>
    <d v="2011-01-20T00:00:00"/>
    <n v="1"/>
    <n v="0"/>
    <n v="1"/>
    <n v="19"/>
    <b v="0"/>
    <n v="4"/>
    <n v="1"/>
    <n v="0.26"/>
    <x v="1"/>
    <x v="2"/>
    <x v="0"/>
    <x v="149"/>
  </r>
  <r>
    <n v="452"/>
    <d v="2011-01-20T00:00:00"/>
    <n v="1"/>
    <n v="0"/>
    <n v="1"/>
    <n v="20"/>
    <b v="0"/>
    <n v="4"/>
    <n v="2"/>
    <n v="0.26"/>
    <x v="1"/>
    <x v="2"/>
    <x v="1"/>
    <x v="51"/>
  </r>
  <r>
    <n v="453"/>
    <d v="2011-01-20T00:00:00"/>
    <n v="1"/>
    <n v="0"/>
    <n v="1"/>
    <n v="21"/>
    <b v="0"/>
    <n v="4"/>
    <n v="2"/>
    <n v="0.24"/>
    <x v="1"/>
    <x v="2"/>
    <x v="1"/>
    <x v="9"/>
  </r>
  <r>
    <n v="454"/>
    <d v="2011-01-20T00:00:00"/>
    <n v="1"/>
    <n v="0"/>
    <n v="1"/>
    <n v="22"/>
    <b v="0"/>
    <n v="4"/>
    <n v="2"/>
    <n v="0.24"/>
    <x v="1"/>
    <x v="2"/>
    <x v="1"/>
    <x v="34"/>
  </r>
  <r>
    <n v="455"/>
    <d v="2011-01-20T00:00:00"/>
    <n v="1"/>
    <n v="0"/>
    <n v="1"/>
    <n v="23"/>
    <b v="0"/>
    <n v="4"/>
    <n v="2"/>
    <n v="0.24"/>
    <x v="1"/>
    <x v="2"/>
    <x v="1"/>
    <x v="137"/>
  </r>
  <r>
    <n v="456"/>
    <d v="2011-01-21T00:00:00"/>
    <n v="1"/>
    <n v="0"/>
    <n v="1"/>
    <n v="0"/>
    <b v="0"/>
    <n v="5"/>
    <n v="2"/>
    <n v="0.24"/>
    <x v="1"/>
    <x v="0"/>
    <x v="1"/>
    <x v="23"/>
  </r>
  <r>
    <n v="457"/>
    <d v="2011-01-21T00:00:00"/>
    <n v="1"/>
    <n v="0"/>
    <n v="1"/>
    <n v="1"/>
    <b v="0"/>
    <n v="5"/>
    <n v="2"/>
    <n v="0.24"/>
    <x v="1"/>
    <x v="0"/>
    <x v="1"/>
    <x v="4"/>
  </r>
  <r>
    <n v="458"/>
    <d v="2011-01-21T00:00:00"/>
    <n v="1"/>
    <n v="0"/>
    <n v="1"/>
    <n v="2"/>
    <b v="0"/>
    <n v="5"/>
    <n v="3"/>
    <n v="0.24"/>
    <x v="1"/>
    <x v="0"/>
    <x v="2"/>
    <x v="3"/>
  </r>
  <r>
    <n v="459"/>
    <d v="2011-01-21T00:00:00"/>
    <n v="1"/>
    <n v="0"/>
    <n v="1"/>
    <n v="3"/>
    <b v="0"/>
    <n v="5"/>
    <n v="3"/>
    <n v="0.22"/>
    <x v="1"/>
    <x v="0"/>
    <x v="2"/>
    <x v="3"/>
  </r>
  <r>
    <n v="460"/>
    <d v="2011-01-21T00:00:00"/>
    <n v="1"/>
    <n v="0"/>
    <n v="1"/>
    <n v="4"/>
    <b v="0"/>
    <n v="5"/>
    <n v="2"/>
    <n v="0.22"/>
    <x v="1"/>
    <x v="0"/>
    <x v="1"/>
    <x v="35"/>
  </r>
  <r>
    <n v="461"/>
    <d v="2011-01-21T00:00:00"/>
    <n v="1"/>
    <n v="0"/>
    <n v="1"/>
    <n v="5"/>
    <b v="0"/>
    <n v="5"/>
    <n v="1"/>
    <n v="0.24"/>
    <x v="1"/>
    <x v="0"/>
    <x v="0"/>
    <x v="110"/>
  </r>
  <r>
    <n v="462"/>
    <d v="2011-01-21T00:00:00"/>
    <n v="1"/>
    <n v="0"/>
    <n v="1"/>
    <n v="6"/>
    <b v="0"/>
    <n v="5"/>
    <n v="1"/>
    <n v="0.22"/>
    <x v="1"/>
    <x v="0"/>
    <x v="0"/>
    <x v="118"/>
  </r>
  <r>
    <n v="463"/>
    <d v="2011-01-21T00:00:00"/>
    <n v="1"/>
    <n v="0"/>
    <n v="1"/>
    <n v="7"/>
    <b v="0"/>
    <n v="5"/>
    <n v="1"/>
    <n v="0.2"/>
    <x v="1"/>
    <x v="0"/>
    <x v="0"/>
    <x v="112"/>
  </r>
  <r>
    <n v="464"/>
    <d v="2011-01-21T00:00:00"/>
    <n v="1"/>
    <n v="0"/>
    <n v="1"/>
    <n v="8"/>
    <b v="0"/>
    <n v="5"/>
    <n v="1"/>
    <n v="0.2"/>
    <x v="1"/>
    <x v="0"/>
    <x v="0"/>
    <x v="150"/>
  </r>
  <r>
    <n v="465"/>
    <d v="2011-01-21T00:00:00"/>
    <n v="1"/>
    <n v="0"/>
    <n v="1"/>
    <n v="9"/>
    <b v="0"/>
    <n v="5"/>
    <n v="1"/>
    <n v="0.2"/>
    <x v="1"/>
    <x v="0"/>
    <x v="0"/>
    <x v="54"/>
  </r>
  <r>
    <n v="466"/>
    <d v="2011-01-21T00:00:00"/>
    <n v="1"/>
    <n v="0"/>
    <n v="1"/>
    <n v="10"/>
    <b v="0"/>
    <n v="5"/>
    <n v="1"/>
    <n v="0.2"/>
    <x v="1"/>
    <x v="0"/>
    <x v="0"/>
    <x v="28"/>
  </r>
  <r>
    <n v="467"/>
    <d v="2011-01-21T00:00:00"/>
    <n v="1"/>
    <n v="0"/>
    <n v="1"/>
    <n v="11"/>
    <b v="0"/>
    <n v="5"/>
    <n v="1"/>
    <n v="0.22"/>
    <x v="1"/>
    <x v="0"/>
    <x v="0"/>
    <x v="52"/>
  </r>
  <r>
    <n v="468"/>
    <d v="2011-01-21T00:00:00"/>
    <n v="1"/>
    <n v="0"/>
    <n v="1"/>
    <n v="12"/>
    <b v="0"/>
    <n v="5"/>
    <n v="1"/>
    <n v="0.22"/>
    <x v="1"/>
    <x v="1"/>
    <x v="0"/>
    <x v="87"/>
  </r>
  <r>
    <n v="469"/>
    <d v="2011-01-21T00:00:00"/>
    <n v="1"/>
    <n v="0"/>
    <n v="1"/>
    <n v="13"/>
    <b v="0"/>
    <n v="5"/>
    <n v="1"/>
    <n v="0.2"/>
    <x v="1"/>
    <x v="1"/>
    <x v="0"/>
    <x v="68"/>
  </r>
  <r>
    <n v="470"/>
    <d v="2011-01-21T00:00:00"/>
    <n v="1"/>
    <n v="0"/>
    <n v="1"/>
    <n v="14"/>
    <b v="0"/>
    <n v="5"/>
    <n v="1"/>
    <n v="0.2"/>
    <x v="1"/>
    <x v="1"/>
    <x v="0"/>
    <x v="31"/>
  </r>
  <r>
    <n v="471"/>
    <d v="2011-01-21T00:00:00"/>
    <n v="1"/>
    <n v="0"/>
    <n v="1"/>
    <n v="15"/>
    <b v="0"/>
    <n v="5"/>
    <n v="1"/>
    <n v="0.16"/>
    <x v="1"/>
    <x v="1"/>
    <x v="0"/>
    <x v="53"/>
  </r>
  <r>
    <n v="472"/>
    <d v="2011-01-21T00:00:00"/>
    <n v="1"/>
    <n v="0"/>
    <n v="1"/>
    <n v="16"/>
    <b v="0"/>
    <n v="5"/>
    <n v="1"/>
    <n v="0.16"/>
    <x v="1"/>
    <x v="1"/>
    <x v="0"/>
    <x v="143"/>
  </r>
  <r>
    <n v="473"/>
    <d v="2011-01-21T00:00:00"/>
    <n v="1"/>
    <n v="0"/>
    <n v="1"/>
    <n v="17"/>
    <b v="0"/>
    <n v="5"/>
    <n v="1"/>
    <n v="0.14000000000000001"/>
    <x v="1"/>
    <x v="1"/>
    <x v="0"/>
    <x v="151"/>
  </r>
  <r>
    <n v="474"/>
    <d v="2011-01-21T00:00:00"/>
    <n v="1"/>
    <n v="0"/>
    <n v="1"/>
    <n v="18"/>
    <b v="0"/>
    <n v="5"/>
    <n v="1"/>
    <n v="0.12"/>
    <x v="1"/>
    <x v="2"/>
    <x v="0"/>
    <x v="152"/>
  </r>
  <r>
    <n v="475"/>
    <d v="2011-01-21T00:00:00"/>
    <n v="1"/>
    <n v="0"/>
    <n v="1"/>
    <n v="19"/>
    <b v="0"/>
    <n v="5"/>
    <n v="1"/>
    <n v="0.12"/>
    <x v="1"/>
    <x v="2"/>
    <x v="0"/>
    <x v="25"/>
  </r>
  <r>
    <n v="476"/>
    <d v="2011-01-21T00:00:00"/>
    <n v="1"/>
    <n v="0"/>
    <n v="1"/>
    <n v="20"/>
    <b v="0"/>
    <n v="5"/>
    <n v="1"/>
    <n v="0.1"/>
    <x v="1"/>
    <x v="2"/>
    <x v="0"/>
    <x v="102"/>
  </r>
  <r>
    <n v="477"/>
    <d v="2011-01-21T00:00:00"/>
    <n v="1"/>
    <n v="0"/>
    <n v="1"/>
    <n v="21"/>
    <b v="0"/>
    <n v="5"/>
    <n v="1"/>
    <n v="0.08"/>
    <x v="1"/>
    <x v="2"/>
    <x v="0"/>
    <x v="18"/>
  </r>
  <r>
    <n v="478"/>
    <d v="2011-01-21T00:00:00"/>
    <n v="1"/>
    <n v="0"/>
    <n v="1"/>
    <n v="22"/>
    <b v="0"/>
    <n v="5"/>
    <n v="1"/>
    <n v="0.06"/>
    <x v="1"/>
    <x v="2"/>
    <x v="0"/>
    <x v="110"/>
  </r>
  <r>
    <n v="479"/>
    <d v="2011-01-21T00:00:00"/>
    <n v="1"/>
    <n v="0"/>
    <n v="1"/>
    <n v="23"/>
    <b v="0"/>
    <n v="5"/>
    <n v="1"/>
    <n v="0.06"/>
    <x v="1"/>
    <x v="2"/>
    <x v="0"/>
    <x v="2"/>
  </r>
  <r>
    <n v="480"/>
    <d v="2011-01-22T00:00:00"/>
    <n v="1"/>
    <n v="0"/>
    <n v="1"/>
    <n v="0"/>
    <b v="0"/>
    <n v="6"/>
    <n v="1"/>
    <n v="0.04"/>
    <x v="0"/>
    <x v="0"/>
    <x v="0"/>
    <x v="46"/>
  </r>
  <r>
    <n v="481"/>
    <d v="2011-01-22T00:00:00"/>
    <n v="1"/>
    <n v="0"/>
    <n v="1"/>
    <n v="1"/>
    <b v="0"/>
    <n v="6"/>
    <n v="2"/>
    <n v="0.04"/>
    <x v="0"/>
    <x v="0"/>
    <x v="1"/>
    <x v="61"/>
  </r>
  <r>
    <n v="482"/>
    <d v="2011-01-22T00:00:00"/>
    <n v="1"/>
    <n v="0"/>
    <n v="1"/>
    <n v="2"/>
    <b v="0"/>
    <n v="6"/>
    <n v="2"/>
    <n v="0.04"/>
    <x v="0"/>
    <x v="0"/>
    <x v="1"/>
    <x v="84"/>
  </r>
  <r>
    <n v="483"/>
    <d v="2011-01-22T00:00:00"/>
    <n v="1"/>
    <n v="0"/>
    <n v="1"/>
    <n v="3"/>
    <b v="0"/>
    <n v="6"/>
    <n v="2"/>
    <n v="0.04"/>
    <x v="0"/>
    <x v="0"/>
    <x v="1"/>
    <x v="5"/>
  </r>
  <r>
    <n v="484"/>
    <d v="2011-01-22T00:00:00"/>
    <n v="1"/>
    <n v="0"/>
    <n v="1"/>
    <n v="4"/>
    <b v="0"/>
    <n v="6"/>
    <n v="2"/>
    <n v="0.02"/>
    <x v="0"/>
    <x v="0"/>
    <x v="1"/>
    <x v="4"/>
  </r>
  <r>
    <n v="485"/>
    <d v="2011-01-22T00:00:00"/>
    <n v="1"/>
    <n v="0"/>
    <n v="1"/>
    <n v="6"/>
    <b v="0"/>
    <n v="6"/>
    <n v="2"/>
    <n v="0.02"/>
    <x v="0"/>
    <x v="0"/>
    <x v="1"/>
    <x v="6"/>
  </r>
  <r>
    <n v="486"/>
    <d v="2011-01-22T00:00:00"/>
    <n v="1"/>
    <n v="0"/>
    <n v="1"/>
    <n v="7"/>
    <b v="0"/>
    <n v="6"/>
    <n v="1"/>
    <n v="0.02"/>
    <x v="0"/>
    <x v="0"/>
    <x v="0"/>
    <x v="110"/>
  </r>
  <r>
    <n v="487"/>
    <d v="2011-01-22T00:00:00"/>
    <n v="1"/>
    <n v="0"/>
    <n v="1"/>
    <n v="8"/>
    <b v="0"/>
    <n v="6"/>
    <n v="1"/>
    <n v="0.02"/>
    <x v="0"/>
    <x v="0"/>
    <x v="0"/>
    <x v="0"/>
  </r>
  <r>
    <n v="488"/>
    <d v="2011-01-22T00:00:00"/>
    <n v="1"/>
    <n v="0"/>
    <n v="1"/>
    <n v="9"/>
    <b v="0"/>
    <n v="6"/>
    <n v="1"/>
    <n v="0.04"/>
    <x v="0"/>
    <x v="0"/>
    <x v="0"/>
    <x v="25"/>
  </r>
  <r>
    <n v="489"/>
    <d v="2011-01-22T00:00:00"/>
    <n v="1"/>
    <n v="0"/>
    <n v="1"/>
    <n v="10"/>
    <b v="0"/>
    <n v="6"/>
    <n v="2"/>
    <n v="0.04"/>
    <x v="0"/>
    <x v="0"/>
    <x v="1"/>
    <x v="54"/>
  </r>
  <r>
    <n v="490"/>
    <d v="2011-01-22T00:00:00"/>
    <n v="1"/>
    <n v="0"/>
    <n v="1"/>
    <n v="11"/>
    <b v="0"/>
    <n v="6"/>
    <n v="2"/>
    <n v="0.06"/>
    <x v="0"/>
    <x v="0"/>
    <x v="1"/>
    <x v="26"/>
  </r>
  <r>
    <n v="491"/>
    <d v="2011-01-22T00:00:00"/>
    <n v="1"/>
    <n v="0"/>
    <n v="1"/>
    <n v="12"/>
    <b v="0"/>
    <n v="6"/>
    <n v="2"/>
    <n v="0.06"/>
    <x v="0"/>
    <x v="1"/>
    <x v="1"/>
    <x v="10"/>
  </r>
  <r>
    <n v="492"/>
    <d v="2011-01-22T00:00:00"/>
    <n v="1"/>
    <n v="0"/>
    <n v="1"/>
    <n v="13"/>
    <b v="0"/>
    <n v="6"/>
    <n v="1"/>
    <n v="0.08"/>
    <x v="0"/>
    <x v="1"/>
    <x v="0"/>
    <x v="27"/>
  </r>
  <r>
    <n v="493"/>
    <d v="2011-01-22T00:00:00"/>
    <n v="1"/>
    <n v="0"/>
    <n v="1"/>
    <n v="14"/>
    <b v="0"/>
    <n v="6"/>
    <n v="1"/>
    <n v="0.1"/>
    <x v="0"/>
    <x v="1"/>
    <x v="0"/>
    <x v="153"/>
  </r>
  <r>
    <n v="494"/>
    <d v="2011-01-22T00:00:00"/>
    <n v="1"/>
    <n v="0"/>
    <n v="1"/>
    <n v="15"/>
    <b v="0"/>
    <n v="6"/>
    <n v="1"/>
    <n v="0.12"/>
    <x v="0"/>
    <x v="1"/>
    <x v="0"/>
    <x v="55"/>
  </r>
  <r>
    <n v="495"/>
    <d v="2011-01-22T00:00:00"/>
    <n v="1"/>
    <n v="0"/>
    <n v="1"/>
    <n v="16"/>
    <b v="0"/>
    <n v="6"/>
    <n v="1"/>
    <n v="0.12"/>
    <x v="0"/>
    <x v="1"/>
    <x v="0"/>
    <x v="15"/>
  </r>
  <r>
    <n v="496"/>
    <d v="2011-01-22T00:00:00"/>
    <n v="1"/>
    <n v="0"/>
    <n v="1"/>
    <n v="17"/>
    <b v="0"/>
    <n v="6"/>
    <n v="1"/>
    <n v="0.12"/>
    <x v="0"/>
    <x v="1"/>
    <x v="0"/>
    <x v="59"/>
  </r>
  <r>
    <n v="497"/>
    <d v="2011-01-22T00:00:00"/>
    <n v="1"/>
    <n v="0"/>
    <n v="1"/>
    <n v="18"/>
    <b v="0"/>
    <n v="6"/>
    <n v="1"/>
    <n v="0.08"/>
    <x v="0"/>
    <x v="2"/>
    <x v="0"/>
    <x v="28"/>
  </r>
  <r>
    <n v="498"/>
    <d v="2011-01-22T00:00:00"/>
    <n v="1"/>
    <n v="0"/>
    <n v="1"/>
    <n v="19"/>
    <b v="0"/>
    <n v="6"/>
    <n v="1"/>
    <n v="0.08"/>
    <x v="0"/>
    <x v="2"/>
    <x v="0"/>
    <x v="78"/>
  </r>
  <r>
    <n v="499"/>
    <d v="2011-01-22T00:00:00"/>
    <n v="1"/>
    <n v="0"/>
    <n v="1"/>
    <n v="20"/>
    <b v="0"/>
    <n v="6"/>
    <n v="1"/>
    <n v="0.06"/>
    <x v="0"/>
    <x v="2"/>
    <x v="0"/>
    <x v="20"/>
  </r>
  <r>
    <n v="500"/>
    <d v="2011-01-22T00:00:00"/>
    <n v="1"/>
    <n v="0"/>
    <n v="1"/>
    <n v="21"/>
    <b v="0"/>
    <n v="6"/>
    <n v="1"/>
    <n v="0.06"/>
    <x v="0"/>
    <x v="2"/>
    <x v="0"/>
    <x v="32"/>
  </r>
  <r>
    <n v="501"/>
    <d v="2011-01-22T00:00:00"/>
    <n v="1"/>
    <n v="0"/>
    <n v="1"/>
    <n v="22"/>
    <b v="0"/>
    <n v="6"/>
    <n v="1"/>
    <n v="0.06"/>
    <x v="0"/>
    <x v="2"/>
    <x v="0"/>
    <x v="62"/>
  </r>
  <r>
    <n v="502"/>
    <d v="2011-01-22T00:00:00"/>
    <n v="1"/>
    <n v="0"/>
    <n v="1"/>
    <n v="23"/>
    <b v="0"/>
    <n v="6"/>
    <n v="1"/>
    <n v="0.04"/>
    <x v="0"/>
    <x v="2"/>
    <x v="0"/>
    <x v="33"/>
  </r>
  <r>
    <n v="503"/>
    <d v="2011-01-23T00:00:00"/>
    <n v="1"/>
    <n v="0"/>
    <n v="1"/>
    <n v="0"/>
    <b v="0"/>
    <n v="0"/>
    <n v="1"/>
    <n v="0.04"/>
    <x v="0"/>
    <x v="0"/>
    <x v="0"/>
    <x v="2"/>
  </r>
  <r>
    <n v="504"/>
    <d v="2011-01-23T00:00:00"/>
    <n v="1"/>
    <n v="0"/>
    <n v="1"/>
    <n v="1"/>
    <b v="0"/>
    <n v="0"/>
    <n v="1"/>
    <n v="0.04"/>
    <x v="0"/>
    <x v="0"/>
    <x v="0"/>
    <x v="109"/>
  </r>
  <r>
    <n v="505"/>
    <d v="2011-01-23T00:00:00"/>
    <n v="1"/>
    <n v="0"/>
    <n v="1"/>
    <n v="2"/>
    <b v="0"/>
    <n v="0"/>
    <n v="1"/>
    <n v="0.02"/>
    <x v="0"/>
    <x v="0"/>
    <x v="0"/>
    <x v="35"/>
  </r>
  <r>
    <n v="506"/>
    <d v="2011-01-23T00:00:00"/>
    <n v="1"/>
    <n v="0"/>
    <n v="1"/>
    <n v="3"/>
    <b v="0"/>
    <n v="0"/>
    <n v="1"/>
    <n v="0.02"/>
    <x v="0"/>
    <x v="0"/>
    <x v="0"/>
    <x v="5"/>
  </r>
  <r>
    <n v="507"/>
    <d v="2011-01-23T00:00:00"/>
    <n v="1"/>
    <n v="0"/>
    <n v="1"/>
    <n v="5"/>
    <b v="0"/>
    <n v="0"/>
    <n v="2"/>
    <n v="0.04"/>
    <x v="0"/>
    <x v="0"/>
    <x v="1"/>
    <x v="3"/>
  </r>
  <r>
    <n v="508"/>
    <d v="2011-01-23T00:00:00"/>
    <n v="1"/>
    <n v="0"/>
    <n v="1"/>
    <n v="6"/>
    <b v="0"/>
    <n v="0"/>
    <n v="2"/>
    <n v="0.04"/>
    <x v="0"/>
    <x v="0"/>
    <x v="1"/>
    <x v="4"/>
  </r>
  <r>
    <n v="509"/>
    <d v="2011-01-23T00:00:00"/>
    <n v="1"/>
    <n v="0"/>
    <n v="1"/>
    <n v="7"/>
    <b v="0"/>
    <n v="0"/>
    <n v="1"/>
    <n v="0.08"/>
    <x v="0"/>
    <x v="0"/>
    <x v="0"/>
    <x v="74"/>
  </r>
  <r>
    <n v="510"/>
    <d v="2011-01-23T00:00:00"/>
    <n v="1"/>
    <n v="0"/>
    <n v="1"/>
    <n v="8"/>
    <b v="0"/>
    <n v="0"/>
    <n v="1"/>
    <n v="0.06"/>
    <x v="0"/>
    <x v="0"/>
    <x v="0"/>
    <x v="19"/>
  </r>
  <r>
    <n v="511"/>
    <d v="2011-01-23T00:00:00"/>
    <n v="1"/>
    <n v="0"/>
    <n v="1"/>
    <n v="9"/>
    <b v="0"/>
    <n v="0"/>
    <n v="1"/>
    <n v="0.1"/>
    <x v="0"/>
    <x v="0"/>
    <x v="0"/>
    <x v="154"/>
  </r>
  <r>
    <n v="512"/>
    <d v="2011-01-23T00:00:00"/>
    <n v="1"/>
    <n v="0"/>
    <n v="1"/>
    <n v="10"/>
    <b v="0"/>
    <n v="0"/>
    <n v="1"/>
    <n v="0.14000000000000001"/>
    <x v="0"/>
    <x v="0"/>
    <x v="0"/>
    <x v="111"/>
  </r>
  <r>
    <n v="513"/>
    <d v="2011-01-23T00:00:00"/>
    <n v="1"/>
    <n v="0"/>
    <n v="1"/>
    <n v="11"/>
    <b v="0"/>
    <n v="0"/>
    <n v="1"/>
    <n v="0.14000000000000001"/>
    <x v="0"/>
    <x v="0"/>
    <x v="0"/>
    <x v="155"/>
  </r>
  <r>
    <n v="514"/>
    <d v="2011-01-23T00:00:00"/>
    <n v="1"/>
    <n v="0"/>
    <n v="1"/>
    <n v="12"/>
    <b v="0"/>
    <n v="0"/>
    <n v="1"/>
    <n v="0.16"/>
    <x v="0"/>
    <x v="1"/>
    <x v="0"/>
    <x v="89"/>
  </r>
  <r>
    <n v="515"/>
    <d v="2011-01-23T00:00:00"/>
    <n v="1"/>
    <n v="0"/>
    <n v="1"/>
    <n v="13"/>
    <b v="0"/>
    <n v="0"/>
    <n v="1"/>
    <n v="0.14000000000000001"/>
    <x v="0"/>
    <x v="1"/>
    <x v="0"/>
    <x v="13"/>
  </r>
  <r>
    <n v="516"/>
    <d v="2011-01-23T00:00:00"/>
    <n v="1"/>
    <n v="0"/>
    <n v="1"/>
    <n v="14"/>
    <b v="0"/>
    <n v="0"/>
    <n v="1"/>
    <n v="0.16"/>
    <x v="0"/>
    <x v="1"/>
    <x v="0"/>
    <x v="42"/>
  </r>
  <r>
    <n v="517"/>
    <d v="2011-01-23T00:00:00"/>
    <n v="1"/>
    <n v="0"/>
    <n v="1"/>
    <n v="15"/>
    <b v="0"/>
    <n v="0"/>
    <n v="1"/>
    <n v="0.16"/>
    <x v="0"/>
    <x v="1"/>
    <x v="0"/>
    <x v="31"/>
  </r>
  <r>
    <n v="518"/>
    <d v="2011-01-23T00:00:00"/>
    <n v="1"/>
    <n v="0"/>
    <n v="1"/>
    <n v="16"/>
    <b v="0"/>
    <n v="0"/>
    <n v="1"/>
    <n v="0.16"/>
    <x v="0"/>
    <x v="1"/>
    <x v="0"/>
    <x v="97"/>
  </r>
  <r>
    <n v="519"/>
    <d v="2011-01-23T00:00:00"/>
    <n v="1"/>
    <n v="0"/>
    <n v="1"/>
    <n v="17"/>
    <b v="0"/>
    <n v="0"/>
    <n v="1"/>
    <n v="0.14000000000000001"/>
    <x v="0"/>
    <x v="1"/>
    <x v="0"/>
    <x v="99"/>
  </r>
  <r>
    <n v="520"/>
    <d v="2011-01-23T00:00:00"/>
    <n v="1"/>
    <n v="0"/>
    <n v="1"/>
    <n v="18"/>
    <b v="0"/>
    <n v="0"/>
    <n v="1"/>
    <n v="0.12"/>
    <x v="0"/>
    <x v="2"/>
    <x v="0"/>
    <x v="88"/>
  </r>
  <r>
    <n v="521"/>
    <d v="2011-01-23T00:00:00"/>
    <n v="1"/>
    <n v="0"/>
    <n v="1"/>
    <n v="19"/>
    <b v="0"/>
    <n v="0"/>
    <n v="1"/>
    <n v="0.12"/>
    <x v="0"/>
    <x v="2"/>
    <x v="0"/>
    <x v="16"/>
  </r>
  <r>
    <n v="522"/>
    <d v="2011-01-23T00:00:00"/>
    <n v="1"/>
    <n v="0"/>
    <n v="1"/>
    <n v="20"/>
    <b v="0"/>
    <n v="0"/>
    <n v="1"/>
    <n v="0.1"/>
    <x v="0"/>
    <x v="2"/>
    <x v="0"/>
    <x v="93"/>
  </r>
  <r>
    <n v="523"/>
    <d v="2011-01-23T00:00:00"/>
    <n v="1"/>
    <n v="0"/>
    <n v="1"/>
    <n v="21"/>
    <b v="0"/>
    <n v="0"/>
    <n v="1"/>
    <n v="0.1"/>
    <x v="0"/>
    <x v="2"/>
    <x v="0"/>
    <x v="19"/>
  </r>
  <r>
    <n v="524"/>
    <d v="2011-01-23T00:00:00"/>
    <n v="1"/>
    <n v="0"/>
    <n v="1"/>
    <n v="22"/>
    <b v="0"/>
    <n v="0"/>
    <n v="1"/>
    <n v="0.08"/>
    <x v="0"/>
    <x v="2"/>
    <x v="0"/>
    <x v="137"/>
  </r>
  <r>
    <n v="525"/>
    <d v="2011-01-23T00:00:00"/>
    <n v="1"/>
    <n v="0"/>
    <n v="1"/>
    <n v="23"/>
    <b v="0"/>
    <n v="0"/>
    <n v="1"/>
    <n v="0.06"/>
    <x v="0"/>
    <x v="2"/>
    <x v="0"/>
    <x v="84"/>
  </r>
  <r>
    <n v="526"/>
    <d v="2011-01-24T00:00:00"/>
    <n v="1"/>
    <n v="0"/>
    <n v="1"/>
    <n v="0"/>
    <b v="0"/>
    <n v="1"/>
    <n v="1"/>
    <n v="0.06"/>
    <x v="1"/>
    <x v="0"/>
    <x v="0"/>
    <x v="3"/>
  </r>
  <r>
    <n v="527"/>
    <d v="2011-01-24T00:00:00"/>
    <n v="1"/>
    <n v="0"/>
    <n v="1"/>
    <n v="1"/>
    <b v="0"/>
    <n v="1"/>
    <n v="1"/>
    <n v="0.04"/>
    <x v="1"/>
    <x v="0"/>
    <x v="0"/>
    <x v="3"/>
  </r>
  <r>
    <n v="528"/>
    <d v="2011-01-24T00:00:00"/>
    <n v="1"/>
    <n v="0"/>
    <n v="1"/>
    <n v="3"/>
    <b v="0"/>
    <n v="1"/>
    <n v="1"/>
    <n v="0.04"/>
    <x v="1"/>
    <x v="0"/>
    <x v="0"/>
    <x v="3"/>
  </r>
  <r>
    <n v="529"/>
    <d v="2011-01-24T00:00:00"/>
    <n v="1"/>
    <n v="0"/>
    <n v="1"/>
    <n v="4"/>
    <b v="0"/>
    <n v="1"/>
    <n v="1"/>
    <n v="0.02"/>
    <x v="1"/>
    <x v="0"/>
    <x v="0"/>
    <x v="35"/>
  </r>
  <r>
    <n v="530"/>
    <d v="2011-01-24T00:00:00"/>
    <n v="1"/>
    <n v="0"/>
    <n v="1"/>
    <n v="5"/>
    <b v="0"/>
    <n v="1"/>
    <n v="1"/>
    <n v="0.02"/>
    <x v="1"/>
    <x v="0"/>
    <x v="0"/>
    <x v="92"/>
  </r>
  <r>
    <n v="531"/>
    <d v="2011-01-24T00:00:00"/>
    <n v="1"/>
    <n v="0"/>
    <n v="1"/>
    <n v="6"/>
    <b v="0"/>
    <n v="1"/>
    <n v="1"/>
    <n v="0.02"/>
    <x v="1"/>
    <x v="0"/>
    <x v="0"/>
    <x v="10"/>
  </r>
  <r>
    <n v="532"/>
    <d v="2011-01-24T00:00:00"/>
    <n v="1"/>
    <n v="0"/>
    <n v="1"/>
    <n v="7"/>
    <b v="0"/>
    <n v="1"/>
    <n v="1"/>
    <n v="0.02"/>
    <x v="1"/>
    <x v="0"/>
    <x v="0"/>
    <x v="156"/>
  </r>
  <r>
    <n v="533"/>
    <d v="2011-01-24T00:00:00"/>
    <n v="1"/>
    <n v="0"/>
    <n v="1"/>
    <n v="8"/>
    <b v="0"/>
    <n v="1"/>
    <n v="1"/>
    <n v="0.04"/>
    <x v="1"/>
    <x v="0"/>
    <x v="0"/>
    <x v="96"/>
  </r>
  <r>
    <n v="534"/>
    <d v="2011-01-24T00:00:00"/>
    <n v="1"/>
    <n v="0"/>
    <n v="1"/>
    <n v="9"/>
    <b v="0"/>
    <n v="1"/>
    <n v="1"/>
    <n v="0.06"/>
    <x v="1"/>
    <x v="0"/>
    <x v="0"/>
    <x v="0"/>
  </r>
  <r>
    <n v="535"/>
    <d v="2011-01-24T00:00:00"/>
    <n v="1"/>
    <n v="0"/>
    <n v="1"/>
    <n v="10"/>
    <b v="0"/>
    <n v="1"/>
    <n v="1"/>
    <n v="0.1"/>
    <x v="1"/>
    <x v="0"/>
    <x v="0"/>
    <x v="65"/>
  </r>
  <r>
    <n v="536"/>
    <d v="2011-01-24T00:00:00"/>
    <n v="1"/>
    <n v="0"/>
    <n v="1"/>
    <n v="11"/>
    <b v="0"/>
    <n v="1"/>
    <n v="1"/>
    <n v="0.1"/>
    <x v="1"/>
    <x v="0"/>
    <x v="0"/>
    <x v="54"/>
  </r>
  <r>
    <n v="537"/>
    <d v="2011-01-24T00:00:00"/>
    <n v="1"/>
    <n v="0"/>
    <n v="1"/>
    <n v="12"/>
    <b v="0"/>
    <n v="1"/>
    <n v="2"/>
    <n v="0.12"/>
    <x v="1"/>
    <x v="1"/>
    <x v="1"/>
    <x v="122"/>
  </r>
  <r>
    <n v="538"/>
    <d v="2011-01-24T00:00:00"/>
    <n v="1"/>
    <n v="0"/>
    <n v="1"/>
    <n v="13"/>
    <b v="0"/>
    <n v="1"/>
    <n v="2"/>
    <n v="0.14000000000000001"/>
    <x v="1"/>
    <x v="1"/>
    <x v="1"/>
    <x v="78"/>
  </r>
  <r>
    <n v="539"/>
    <d v="2011-01-24T00:00:00"/>
    <n v="1"/>
    <n v="0"/>
    <n v="1"/>
    <n v="14"/>
    <b v="0"/>
    <n v="1"/>
    <n v="2"/>
    <n v="0.14000000000000001"/>
    <x v="1"/>
    <x v="1"/>
    <x v="1"/>
    <x v="51"/>
  </r>
  <r>
    <n v="540"/>
    <d v="2011-01-24T00:00:00"/>
    <n v="1"/>
    <n v="0"/>
    <n v="1"/>
    <n v="15"/>
    <b v="0"/>
    <n v="1"/>
    <n v="1"/>
    <n v="0.16"/>
    <x v="1"/>
    <x v="1"/>
    <x v="0"/>
    <x v="26"/>
  </r>
  <r>
    <n v="541"/>
    <d v="2011-01-24T00:00:00"/>
    <n v="1"/>
    <n v="0"/>
    <n v="1"/>
    <n v="16"/>
    <b v="0"/>
    <n v="1"/>
    <n v="1"/>
    <n v="0.16"/>
    <x v="1"/>
    <x v="1"/>
    <x v="0"/>
    <x v="157"/>
  </r>
  <r>
    <n v="542"/>
    <d v="2011-01-24T00:00:00"/>
    <n v="1"/>
    <n v="0"/>
    <n v="1"/>
    <n v="17"/>
    <b v="0"/>
    <n v="1"/>
    <n v="1"/>
    <n v="0.14000000000000001"/>
    <x v="1"/>
    <x v="1"/>
    <x v="0"/>
    <x v="158"/>
  </r>
  <r>
    <n v="543"/>
    <d v="2011-01-24T00:00:00"/>
    <n v="1"/>
    <n v="0"/>
    <n v="1"/>
    <n v="18"/>
    <b v="0"/>
    <n v="1"/>
    <n v="1"/>
    <n v="0.14000000000000001"/>
    <x v="1"/>
    <x v="2"/>
    <x v="0"/>
    <x v="12"/>
  </r>
  <r>
    <n v="544"/>
    <d v="2011-01-24T00:00:00"/>
    <n v="1"/>
    <n v="0"/>
    <n v="1"/>
    <n v="19"/>
    <b v="0"/>
    <n v="1"/>
    <n v="1"/>
    <n v="0.14000000000000001"/>
    <x v="1"/>
    <x v="2"/>
    <x v="0"/>
    <x v="117"/>
  </r>
  <r>
    <n v="545"/>
    <d v="2011-01-24T00:00:00"/>
    <n v="1"/>
    <n v="0"/>
    <n v="1"/>
    <n v="20"/>
    <b v="0"/>
    <n v="1"/>
    <n v="1"/>
    <n v="0.14000000000000001"/>
    <x v="1"/>
    <x v="2"/>
    <x v="0"/>
    <x v="28"/>
  </r>
  <r>
    <n v="546"/>
    <d v="2011-01-24T00:00:00"/>
    <n v="1"/>
    <n v="0"/>
    <n v="1"/>
    <n v="21"/>
    <b v="0"/>
    <n v="1"/>
    <n v="1"/>
    <n v="0.14000000000000001"/>
    <x v="1"/>
    <x v="2"/>
    <x v="0"/>
    <x v="16"/>
  </r>
  <r>
    <n v="547"/>
    <d v="2011-01-24T00:00:00"/>
    <n v="1"/>
    <n v="0"/>
    <n v="1"/>
    <n v="22"/>
    <b v="0"/>
    <n v="1"/>
    <n v="2"/>
    <n v="0.14000000000000001"/>
    <x v="1"/>
    <x v="2"/>
    <x v="1"/>
    <x v="108"/>
  </r>
  <r>
    <n v="548"/>
    <d v="2011-01-24T00:00:00"/>
    <n v="1"/>
    <n v="0"/>
    <n v="1"/>
    <n v="23"/>
    <b v="0"/>
    <n v="1"/>
    <n v="2"/>
    <n v="0.16"/>
    <x v="1"/>
    <x v="2"/>
    <x v="1"/>
    <x v="22"/>
  </r>
  <r>
    <n v="549"/>
    <d v="2011-01-25T00:00:00"/>
    <n v="1"/>
    <n v="0"/>
    <n v="1"/>
    <n v="0"/>
    <b v="0"/>
    <n v="2"/>
    <n v="2"/>
    <n v="0.16"/>
    <x v="1"/>
    <x v="0"/>
    <x v="1"/>
    <x v="35"/>
  </r>
  <r>
    <n v="550"/>
    <d v="2011-01-25T00:00:00"/>
    <n v="1"/>
    <n v="0"/>
    <n v="1"/>
    <n v="1"/>
    <b v="0"/>
    <n v="2"/>
    <n v="2"/>
    <n v="0.16"/>
    <x v="1"/>
    <x v="0"/>
    <x v="1"/>
    <x v="4"/>
  </r>
  <r>
    <n v="551"/>
    <d v="2011-01-25T00:00:00"/>
    <n v="1"/>
    <n v="0"/>
    <n v="1"/>
    <n v="2"/>
    <b v="0"/>
    <n v="2"/>
    <n v="1"/>
    <n v="0.16"/>
    <x v="1"/>
    <x v="0"/>
    <x v="0"/>
    <x v="3"/>
  </r>
  <r>
    <n v="552"/>
    <d v="2011-01-25T00:00:00"/>
    <n v="1"/>
    <n v="0"/>
    <n v="1"/>
    <n v="4"/>
    <b v="0"/>
    <n v="2"/>
    <n v="1"/>
    <n v="0.14000000000000001"/>
    <x v="1"/>
    <x v="0"/>
    <x v="0"/>
    <x v="22"/>
  </r>
  <r>
    <n v="553"/>
    <d v="2011-01-25T00:00:00"/>
    <n v="1"/>
    <n v="0"/>
    <n v="1"/>
    <n v="5"/>
    <b v="0"/>
    <n v="2"/>
    <n v="1"/>
    <n v="0.14000000000000001"/>
    <x v="1"/>
    <x v="0"/>
    <x v="0"/>
    <x v="8"/>
  </r>
  <r>
    <n v="554"/>
    <d v="2011-01-25T00:00:00"/>
    <n v="1"/>
    <n v="0"/>
    <n v="1"/>
    <n v="6"/>
    <b v="0"/>
    <n v="2"/>
    <n v="1"/>
    <n v="0.16"/>
    <x v="1"/>
    <x v="0"/>
    <x v="0"/>
    <x v="159"/>
  </r>
  <r>
    <n v="555"/>
    <d v="2011-01-25T00:00:00"/>
    <n v="1"/>
    <n v="0"/>
    <n v="1"/>
    <n v="7"/>
    <b v="0"/>
    <n v="2"/>
    <n v="1"/>
    <n v="0.16"/>
    <x v="1"/>
    <x v="0"/>
    <x v="0"/>
    <x v="160"/>
  </r>
  <r>
    <n v="556"/>
    <d v="2011-01-25T00:00:00"/>
    <n v="1"/>
    <n v="0"/>
    <n v="1"/>
    <n v="8"/>
    <b v="0"/>
    <n v="2"/>
    <n v="2"/>
    <n v="0.16"/>
    <x v="1"/>
    <x v="0"/>
    <x v="1"/>
    <x v="124"/>
  </r>
  <r>
    <n v="557"/>
    <d v="2011-01-25T00:00:00"/>
    <n v="1"/>
    <n v="0"/>
    <n v="1"/>
    <n v="9"/>
    <b v="0"/>
    <n v="2"/>
    <n v="2"/>
    <n v="0.2"/>
    <x v="1"/>
    <x v="0"/>
    <x v="1"/>
    <x v="97"/>
  </r>
  <r>
    <n v="558"/>
    <d v="2011-01-25T00:00:00"/>
    <n v="1"/>
    <n v="0"/>
    <n v="1"/>
    <n v="10"/>
    <b v="0"/>
    <n v="2"/>
    <n v="2"/>
    <n v="0.22"/>
    <x v="1"/>
    <x v="0"/>
    <x v="1"/>
    <x v="41"/>
  </r>
  <r>
    <n v="559"/>
    <d v="2011-01-25T00:00:00"/>
    <n v="1"/>
    <n v="0"/>
    <n v="1"/>
    <n v="11"/>
    <b v="0"/>
    <n v="2"/>
    <n v="2"/>
    <n v="0.24"/>
    <x v="1"/>
    <x v="0"/>
    <x v="1"/>
    <x v="12"/>
  </r>
  <r>
    <n v="560"/>
    <d v="2011-01-25T00:00:00"/>
    <n v="1"/>
    <n v="0"/>
    <n v="1"/>
    <n v="12"/>
    <b v="0"/>
    <n v="2"/>
    <n v="2"/>
    <n v="0.26"/>
    <x v="1"/>
    <x v="1"/>
    <x v="1"/>
    <x v="14"/>
  </r>
  <r>
    <n v="561"/>
    <d v="2011-01-25T00:00:00"/>
    <n v="1"/>
    <n v="0"/>
    <n v="1"/>
    <n v="13"/>
    <b v="0"/>
    <n v="2"/>
    <n v="2"/>
    <n v="0.26"/>
    <x v="1"/>
    <x v="1"/>
    <x v="1"/>
    <x v="118"/>
  </r>
  <r>
    <n v="562"/>
    <d v="2011-01-25T00:00:00"/>
    <n v="1"/>
    <n v="0"/>
    <n v="1"/>
    <n v="14"/>
    <b v="0"/>
    <n v="2"/>
    <n v="2"/>
    <n v="0.3"/>
    <x v="1"/>
    <x v="1"/>
    <x v="1"/>
    <x v="10"/>
  </r>
  <r>
    <n v="563"/>
    <d v="2011-01-25T00:00:00"/>
    <n v="1"/>
    <n v="0"/>
    <n v="1"/>
    <n v="15"/>
    <b v="0"/>
    <n v="2"/>
    <n v="2"/>
    <n v="0.32"/>
    <x v="1"/>
    <x v="1"/>
    <x v="1"/>
    <x v="155"/>
  </r>
  <r>
    <n v="564"/>
    <d v="2011-01-25T00:00:00"/>
    <n v="1"/>
    <n v="0"/>
    <n v="1"/>
    <n v="16"/>
    <b v="0"/>
    <n v="2"/>
    <n v="2"/>
    <n v="0.32"/>
    <x v="1"/>
    <x v="1"/>
    <x v="1"/>
    <x v="161"/>
  </r>
  <r>
    <n v="565"/>
    <d v="2011-01-25T00:00:00"/>
    <n v="1"/>
    <n v="0"/>
    <n v="1"/>
    <n v="17"/>
    <b v="0"/>
    <n v="2"/>
    <n v="1"/>
    <n v="0.3"/>
    <x v="1"/>
    <x v="1"/>
    <x v="0"/>
    <x v="162"/>
  </r>
  <r>
    <n v="566"/>
    <d v="2011-01-25T00:00:00"/>
    <n v="1"/>
    <n v="0"/>
    <n v="1"/>
    <n v="18"/>
    <b v="0"/>
    <n v="2"/>
    <n v="2"/>
    <n v="0.3"/>
    <x v="1"/>
    <x v="2"/>
    <x v="1"/>
    <x v="163"/>
  </r>
  <r>
    <n v="567"/>
    <d v="2011-01-25T00:00:00"/>
    <n v="1"/>
    <n v="0"/>
    <n v="1"/>
    <n v="19"/>
    <b v="0"/>
    <n v="2"/>
    <n v="2"/>
    <n v="0.26"/>
    <x v="1"/>
    <x v="2"/>
    <x v="1"/>
    <x v="164"/>
  </r>
  <r>
    <n v="568"/>
    <d v="2011-01-25T00:00:00"/>
    <n v="1"/>
    <n v="0"/>
    <n v="1"/>
    <n v="20"/>
    <b v="0"/>
    <n v="2"/>
    <n v="1"/>
    <n v="0.24"/>
    <x v="1"/>
    <x v="2"/>
    <x v="0"/>
    <x v="78"/>
  </r>
  <r>
    <n v="569"/>
    <d v="2011-01-25T00:00:00"/>
    <n v="1"/>
    <n v="0"/>
    <n v="1"/>
    <n v="21"/>
    <b v="0"/>
    <n v="2"/>
    <n v="1"/>
    <n v="0.24"/>
    <x v="1"/>
    <x v="2"/>
    <x v="0"/>
    <x v="25"/>
  </r>
  <r>
    <n v="570"/>
    <d v="2011-01-25T00:00:00"/>
    <n v="1"/>
    <n v="0"/>
    <n v="1"/>
    <n v="22"/>
    <b v="0"/>
    <n v="2"/>
    <n v="1"/>
    <n v="0.22"/>
    <x v="1"/>
    <x v="2"/>
    <x v="0"/>
    <x v="0"/>
  </r>
  <r>
    <n v="571"/>
    <d v="2011-01-25T00:00:00"/>
    <n v="1"/>
    <n v="0"/>
    <n v="1"/>
    <n v="23"/>
    <b v="0"/>
    <n v="2"/>
    <n v="2"/>
    <n v="0.22"/>
    <x v="1"/>
    <x v="2"/>
    <x v="1"/>
    <x v="21"/>
  </r>
  <r>
    <n v="572"/>
    <d v="2011-01-26T00:00:00"/>
    <n v="1"/>
    <n v="0"/>
    <n v="1"/>
    <n v="0"/>
    <b v="0"/>
    <n v="3"/>
    <n v="2"/>
    <n v="0.22"/>
    <x v="1"/>
    <x v="0"/>
    <x v="1"/>
    <x v="35"/>
  </r>
  <r>
    <n v="573"/>
    <d v="2011-01-26T00:00:00"/>
    <n v="1"/>
    <n v="0"/>
    <n v="1"/>
    <n v="1"/>
    <b v="0"/>
    <n v="3"/>
    <n v="2"/>
    <n v="0.24"/>
    <x v="1"/>
    <x v="0"/>
    <x v="1"/>
    <x v="98"/>
  </r>
  <r>
    <n v="574"/>
    <d v="2011-01-26T00:00:00"/>
    <n v="1"/>
    <n v="0"/>
    <n v="1"/>
    <n v="2"/>
    <b v="0"/>
    <n v="3"/>
    <n v="3"/>
    <n v="0.22"/>
    <x v="1"/>
    <x v="0"/>
    <x v="2"/>
    <x v="3"/>
  </r>
  <r>
    <n v="575"/>
    <d v="2011-01-26T00:00:00"/>
    <n v="1"/>
    <n v="0"/>
    <n v="1"/>
    <n v="5"/>
    <b v="0"/>
    <n v="3"/>
    <n v="3"/>
    <n v="0.2"/>
    <x v="1"/>
    <x v="0"/>
    <x v="2"/>
    <x v="6"/>
  </r>
  <r>
    <n v="576"/>
    <d v="2011-01-26T00:00:00"/>
    <n v="1"/>
    <n v="0"/>
    <n v="1"/>
    <n v="6"/>
    <b v="0"/>
    <n v="3"/>
    <n v="3"/>
    <n v="0.2"/>
    <x v="1"/>
    <x v="0"/>
    <x v="2"/>
    <x v="32"/>
  </r>
  <r>
    <n v="577"/>
    <d v="2011-01-26T00:00:00"/>
    <n v="1"/>
    <n v="0"/>
    <n v="1"/>
    <n v="7"/>
    <b v="0"/>
    <n v="3"/>
    <n v="3"/>
    <n v="0.22"/>
    <x v="1"/>
    <x v="0"/>
    <x v="2"/>
    <x v="43"/>
  </r>
  <r>
    <n v="578"/>
    <d v="2011-01-26T00:00:00"/>
    <n v="1"/>
    <n v="0"/>
    <n v="1"/>
    <n v="8"/>
    <b v="0"/>
    <n v="3"/>
    <n v="3"/>
    <n v="0.22"/>
    <x v="1"/>
    <x v="0"/>
    <x v="2"/>
    <x v="154"/>
  </r>
  <r>
    <n v="579"/>
    <d v="2011-01-26T00:00:00"/>
    <n v="1"/>
    <n v="0"/>
    <n v="1"/>
    <n v="9"/>
    <b v="0"/>
    <n v="3"/>
    <n v="3"/>
    <n v="0.22"/>
    <x v="1"/>
    <x v="0"/>
    <x v="2"/>
    <x v="19"/>
  </r>
  <r>
    <n v="580"/>
    <d v="2011-01-26T00:00:00"/>
    <n v="1"/>
    <n v="0"/>
    <n v="1"/>
    <n v="10"/>
    <b v="0"/>
    <n v="3"/>
    <n v="3"/>
    <n v="0.22"/>
    <x v="1"/>
    <x v="0"/>
    <x v="2"/>
    <x v="102"/>
  </r>
  <r>
    <n v="581"/>
    <d v="2011-01-26T00:00:00"/>
    <n v="1"/>
    <n v="0"/>
    <n v="1"/>
    <n v="11"/>
    <b v="0"/>
    <n v="3"/>
    <n v="3"/>
    <n v="0.22"/>
    <x v="1"/>
    <x v="0"/>
    <x v="2"/>
    <x v="60"/>
  </r>
  <r>
    <n v="582"/>
    <d v="2011-01-26T00:00:00"/>
    <n v="1"/>
    <n v="0"/>
    <n v="1"/>
    <n v="12"/>
    <b v="0"/>
    <n v="3"/>
    <n v="3"/>
    <n v="0.22"/>
    <x v="1"/>
    <x v="1"/>
    <x v="2"/>
    <x v="105"/>
  </r>
  <r>
    <n v="583"/>
    <d v="2011-01-26T00:00:00"/>
    <n v="1"/>
    <n v="0"/>
    <n v="1"/>
    <n v="13"/>
    <b v="0"/>
    <n v="3"/>
    <n v="3"/>
    <n v="0.22"/>
    <x v="1"/>
    <x v="1"/>
    <x v="2"/>
    <x v="8"/>
  </r>
  <r>
    <n v="584"/>
    <d v="2011-01-26T00:00:00"/>
    <n v="1"/>
    <n v="0"/>
    <n v="1"/>
    <n v="14"/>
    <b v="0"/>
    <n v="3"/>
    <n v="3"/>
    <n v="0.22"/>
    <x v="1"/>
    <x v="1"/>
    <x v="2"/>
    <x v="73"/>
  </r>
  <r>
    <n v="585"/>
    <d v="2011-01-26T00:00:00"/>
    <n v="1"/>
    <n v="0"/>
    <n v="1"/>
    <n v="15"/>
    <b v="0"/>
    <n v="3"/>
    <n v="3"/>
    <n v="0.22"/>
    <x v="1"/>
    <x v="1"/>
    <x v="2"/>
    <x v="8"/>
  </r>
  <r>
    <n v="586"/>
    <d v="2011-01-26T00:00:00"/>
    <n v="1"/>
    <n v="0"/>
    <n v="1"/>
    <n v="16"/>
    <b v="0"/>
    <n v="3"/>
    <n v="4"/>
    <n v="0.22"/>
    <x v="1"/>
    <x v="1"/>
    <x v="3"/>
    <x v="132"/>
  </r>
  <r>
    <n v="587"/>
    <d v="2011-01-26T00:00:00"/>
    <n v="1"/>
    <n v="0"/>
    <n v="1"/>
    <n v="17"/>
    <b v="0"/>
    <n v="3"/>
    <n v="3"/>
    <n v="0.2"/>
    <x v="1"/>
    <x v="1"/>
    <x v="2"/>
    <x v="108"/>
  </r>
  <r>
    <n v="588"/>
    <d v="2011-01-27T00:00:00"/>
    <n v="1"/>
    <n v="0"/>
    <n v="1"/>
    <n v="16"/>
    <b v="0"/>
    <n v="4"/>
    <n v="1"/>
    <n v="0.22"/>
    <x v="1"/>
    <x v="1"/>
    <x v="0"/>
    <x v="10"/>
  </r>
  <r>
    <n v="589"/>
    <d v="2011-01-27T00:00:00"/>
    <n v="1"/>
    <n v="0"/>
    <n v="1"/>
    <n v="17"/>
    <b v="0"/>
    <n v="4"/>
    <n v="1"/>
    <n v="0.22"/>
    <x v="1"/>
    <x v="1"/>
    <x v="0"/>
    <x v="133"/>
  </r>
  <r>
    <n v="590"/>
    <d v="2011-01-27T00:00:00"/>
    <n v="1"/>
    <n v="0"/>
    <n v="1"/>
    <n v="18"/>
    <b v="0"/>
    <n v="4"/>
    <n v="1"/>
    <n v="0.2"/>
    <x v="1"/>
    <x v="2"/>
    <x v="0"/>
    <x v="66"/>
  </r>
  <r>
    <n v="591"/>
    <d v="2011-01-27T00:00:00"/>
    <n v="1"/>
    <n v="0"/>
    <n v="1"/>
    <n v="19"/>
    <b v="0"/>
    <n v="4"/>
    <n v="1"/>
    <n v="0.2"/>
    <x v="1"/>
    <x v="2"/>
    <x v="0"/>
    <x v="28"/>
  </r>
  <r>
    <n v="592"/>
    <d v="2011-01-27T00:00:00"/>
    <n v="1"/>
    <n v="0"/>
    <n v="1"/>
    <n v="20"/>
    <b v="0"/>
    <n v="4"/>
    <n v="1"/>
    <n v="0.18"/>
    <x v="1"/>
    <x v="2"/>
    <x v="0"/>
    <x v="103"/>
  </r>
  <r>
    <n v="593"/>
    <d v="2011-01-27T00:00:00"/>
    <n v="1"/>
    <n v="0"/>
    <n v="1"/>
    <n v="21"/>
    <b v="0"/>
    <n v="4"/>
    <n v="1"/>
    <n v="0.18"/>
    <x v="1"/>
    <x v="2"/>
    <x v="0"/>
    <x v="110"/>
  </r>
  <r>
    <n v="594"/>
    <d v="2011-01-27T00:00:00"/>
    <n v="1"/>
    <n v="0"/>
    <n v="1"/>
    <n v="22"/>
    <b v="0"/>
    <n v="4"/>
    <n v="1"/>
    <n v="0.18"/>
    <x v="1"/>
    <x v="2"/>
    <x v="0"/>
    <x v="94"/>
  </r>
  <r>
    <n v="595"/>
    <d v="2011-01-27T00:00:00"/>
    <n v="1"/>
    <n v="0"/>
    <n v="1"/>
    <n v="23"/>
    <b v="0"/>
    <n v="4"/>
    <n v="1"/>
    <n v="0.18"/>
    <x v="1"/>
    <x v="2"/>
    <x v="0"/>
    <x v="22"/>
  </r>
  <r>
    <n v="596"/>
    <d v="2011-01-28T00:00:00"/>
    <n v="1"/>
    <n v="0"/>
    <n v="1"/>
    <n v="0"/>
    <b v="0"/>
    <n v="5"/>
    <n v="2"/>
    <n v="0.2"/>
    <x v="1"/>
    <x v="0"/>
    <x v="1"/>
    <x v="5"/>
  </r>
  <r>
    <n v="597"/>
    <d v="2011-01-28T00:00:00"/>
    <n v="1"/>
    <n v="0"/>
    <n v="1"/>
    <n v="1"/>
    <b v="0"/>
    <n v="5"/>
    <n v="2"/>
    <n v="0.2"/>
    <x v="1"/>
    <x v="0"/>
    <x v="1"/>
    <x v="4"/>
  </r>
  <r>
    <n v="598"/>
    <d v="2011-01-28T00:00:00"/>
    <n v="1"/>
    <n v="0"/>
    <n v="1"/>
    <n v="2"/>
    <b v="0"/>
    <n v="5"/>
    <n v="2"/>
    <n v="0.2"/>
    <x v="1"/>
    <x v="0"/>
    <x v="1"/>
    <x v="3"/>
  </r>
  <r>
    <n v="599"/>
    <d v="2011-01-28T00:00:00"/>
    <n v="1"/>
    <n v="0"/>
    <n v="1"/>
    <n v="3"/>
    <b v="0"/>
    <n v="5"/>
    <n v="2"/>
    <n v="0.2"/>
    <x v="1"/>
    <x v="0"/>
    <x v="1"/>
    <x v="47"/>
  </r>
  <r>
    <n v="600"/>
    <d v="2011-01-28T00:00:00"/>
    <n v="1"/>
    <n v="0"/>
    <n v="1"/>
    <n v="5"/>
    <b v="0"/>
    <n v="5"/>
    <n v="2"/>
    <n v="0.18"/>
    <x v="1"/>
    <x v="0"/>
    <x v="1"/>
    <x v="94"/>
  </r>
  <r>
    <n v="601"/>
    <d v="2011-01-28T00:00:00"/>
    <n v="1"/>
    <n v="0"/>
    <n v="1"/>
    <n v="6"/>
    <b v="0"/>
    <n v="5"/>
    <n v="2"/>
    <n v="0.18"/>
    <x v="1"/>
    <x v="0"/>
    <x v="1"/>
    <x v="122"/>
  </r>
  <r>
    <n v="602"/>
    <d v="2011-01-28T00:00:00"/>
    <n v="1"/>
    <n v="0"/>
    <n v="1"/>
    <n v="7"/>
    <b v="0"/>
    <n v="5"/>
    <n v="2"/>
    <n v="0.16"/>
    <x v="1"/>
    <x v="0"/>
    <x v="1"/>
    <x v="44"/>
  </r>
  <r>
    <n v="603"/>
    <d v="2011-01-28T00:00:00"/>
    <n v="1"/>
    <n v="0"/>
    <n v="1"/>
    <n v="8"/>
    <b v="0"/>
    <n v="5"/>
    <n v="2"/>
    <n v="0.16"/>
    <x v="1"/>
    <x v="0"/>
    <x v="1"/>
    <x v="129"/>
  </r>
  <r>
    <n v="604"/>
    <d v="2011-01-28T00:00:00"/>
    <n v="1"/>
    <n v="0"/>
    <n v="1"/>
    <n v="9"/>
    <b v="0"/>
    <n v="5"/>
    <n v="3"/>
    <n v="0.18"/>
    <x v="1"/>
    <x v="0"/>
    <x v="2"/>
    <x v="99"/>
  </r>
  <r>
    <n v="605"/>
    <d v="2011-01-28T00:00:00"/>
    <n v="1"/>
    <n v="0"/>
    <n v="1"/>
    <n v="10"/>
    <b v="0"/>
    <n v="5"/>
    <n v="3"/>
    <n v="0.18"/>
    <x v="1"/>
    <x v="0"/>
    <x v="2"/>
    <x v="32"/>
  </r>
  <r>
    <n v="606"/>
    <d v="2011-01-28T00:00:00"/>
    <n v="1"/>
    <n v="0"/>
    <n v="1"/>
    <n v="11"/>
    <b v="0"/>
    <n v="5"/>
    <n v="3"/>
    <n v="0.18"/>
    <x v="1"/>
    <x v="0"/>
    <x v="2"/>
    <x v="115"/>
  </r>
  <r>
    <n v="607"/>
    <d v="2011-01-28T00:00:00"/>
    <n v="1"/>
    <n v="0"/>
    <n v="1"/>
    <n v="12"/>
    <b v="0"/>
    <n v="5"/>
    <n v="3"/>
    <n v="0.18"/>
    <x v="1"/>
    <x v="1"/>
    <x v="2"/>
    <x v="34"/>
  </r>
  <r>
    <n v="608"/>
    <d v="2011-01-28T00:00:00"/>
    <n v="1"/>
    <n v="0"/>
    <n v="1"/>
    <n v="13"/>
    <b v="0"/>
    <n v="5"/>
    <n v="3"/>
    <n v="0.18"/>
    <x v="1"/>
    <x v="1"/>
    <x v="2"/>
    <x v="103"/>
  </r>
  <r>
    <n v="609"/>
    <d v="2011-01-28T00:00:00"/>
    <n v="1"/>
    <n v="0"/>
    <n v="1"/>
    <n v="14"/>
    <b v="0"/>
    <n v="5"/>
    <n v="3"/>
    <n v="0.22"/>
    <x v="1"/>
    <x v="1"/>
    <x v="2"/>
    <x v="102"/>
  </r>
  <r>
    <n v="610"/>
    <d v="2011-01-28T00:00:00"/>
    <n v="1"/>
    <n v="0"/>
    <n v="1"/>
    <n v="15"/>
    <b v="0"/>
    <n v="5"/>
    <n v="2"/>
    <n v="0.2"/>
    <x v="1"/>
    <x v="1"/>
    <x v="1"/>
    <x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38B1D-27A9-4ECC-A1AA-1B27D16A090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8C5DA-4C80-40DF-AF1C-BD110FD8EF5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8" firstHeaderRow="1" firstDataRow="2" firstDataCol="1"/>
  <pivotFields count="14">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Col" showAll="0">
      <items count="5">
        <item x="0"/>
        <item x="1"/>
        <item x="3"/>
        <item x="2"/>
        <item t="default"/>
      </items>
    </pivotField>
    <pivotField dataField="1" showAll="0">
      <items count="167">
        <item x="3"/>
        <item x="4"/>
        <item x="5"/>
        <item x="47"/>
        <item x="35"/>
        <item x="23"/>
        <item x="84"/>
        <item x="6"/>
        <item x="22"/>
        <item x="98"/>
        <item x="61"/>
        <item x="46"/>
        <item x="2"/>
        <item x="7"/>
        <item x="92"/>
        <item x="94"/>
        <item x="21"/>
        <item x="109"/>
        <item x="74"/>
        <item x="24"/>
        <item x="137"/>
        <item x="33"/>
        <item x="83"/>
        <item x="108"/>
        <item x="93"/>
        <item x="132"/>
        <item x="110"/>
        <item x="19"/>
        <item x="115"/>
        <item x="32"/>
        <item x="34"/>
        <item x="1"/>
        <item x="62"/>
        <item x="18"/>
        <item x="16"/>
        <item x="8"/>
        <item x="17"/>
        <item x="103"/>
        <item x="20"/>
        <item x="0"/>
        <item x="102"/>
        <item x="50"/>
        <item x="73"/>
        <item x="39"/>
        <item x="78"/>
        <item x="65"/>
        <item x="105"/>
        <item x="60"/>
        <item x="99"/>
        <item x="88"/>
        <item x="40"/>
        <item x="45"/>
        <item x="25"/>
        <item x="59"/>
        <item x="97"/>
        <item x="9"/>
        <item x="51"/>
        <item x="154"/>
        <item x="28"/>
        <item x="122"/>
        <item x="41"/>
        <item x="68"/>
        <item x="54"/>
        <item x="36"/>
        <item x="31"/>
        <item x="15"/>
        <item x="118"/>
        <item x="82"/>
        <item x="26"/>
        <item x="67"/>
        <item x="43"/>
        <item x="87"/>
        <item x="29"/>
        <item x="27"/>
        <item x="30"/>
        <item x="42"/>
        <item x="52"/>
        <item x="66"/>
        <item x="138"/>
        <item x="117"/>
        <item x="100"/>
        <item x="55"/>
        <item x="10"/>
        <item x="79"/>
        <item x="89"/>
        <item x="38"/>
        <item x="69"/>
        <item x="127"/>
        <item x="134"/>
        <item x="101"/>
        <item x="14"/>
        <item x="11"/>
        <item x="75"/>
        <item x="152"/>
        <item x="53"/>
        <item x="95"/>
        <item x="111"/>
        <item x="49"/>
        <item x="129"/>
        <item x="96"/>
        <item x="153"/>
        <item x="133"/>
        <item x="136"/>
        <item x="12"/>
        <item x="159"/>
        <item x="142"/>
        <item x="13"/>
        <item x="58"/>
        <item x="135"/>
        <item x="64"/>
        <item x="155"/>
        <item x="126"/>
        <item x="130"/>
        <item x="164"/>
        <item x="151"/>
        <item x="77"/>
        <item x="91"/>
        <item x="139"/>
        <item x="149"/>
        <item x="116"/>
        <item x="131"/>
        <item x="113"/>
        <item x="72"/>
        <item x="140"/>
        <item x="86"/>
        <item x="114"/>
        <item x="120"/>
        <item x="119"/>
        <item x="145"/>
        <item x="124"/>
        <item x="163"/>
        <item x="148"/>
        <item x="158"/>
        <item x="37"/>
        <item x="107"/>
        <item x="44"/>
        <item x="125"/>
        <item x="128"/>
        <item x="143"/>
        <item x="123"/>
        <item x="81"/>
        <item x="150"/>
        <item x="71"/>
        <item x="80"/>
        <item x="156"/>
        <item x="106"/>
        <item x="48"/>
        <item x="57"/>
        <item x="157"/>
        <item x="147"/>
        <item x="90"/>
        <item x="104"/>
        <item x="70"/>
        <item x="63"/>
        <item x="141"/>
        <item x="121"/>
        <item x="85"/>
        <item x="56"/>
        <item x="146"/>
        <item x="112"/>
        <item x="76"/>
        <item x="161"/>
        <item x="162"/>
        <item x="160"/>
        <item x="144"/>
        <item x="165"/>
        <item t="default"/>
      </items>
    </pivotField>
  </pivotFields>
  <rowFields count="1">
    <field x="11"/>
  </rowFields>
  <rowItems count="4">
    <i>
      <x/>
    </i>
    <i>
      <x v="1"/>
    </i>
    <i>
      <x v="2"/>
    </i>
    <i t="grand">
      <x/>
    </i>
  </rowItems>
  <colFields count="1">
    <field x="12"/>
  </colFields>
  <colItems count="5">
    <i>
      <x/>
    </i>
    <i>
      <x v="1"/>
    </i>
    <i>
      <x v="2"/>
    </i>
    <i>
      <x v="3"/>
    </i>
    <i t="grand">
      <x/>
    </i>
  </colItems>
  <dataFields count="1">
    <dataField name="Sum of cnt" fld="13" baseField="11" baseItem="0"/>
  </dataFields>
  <chartFormats count="4">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7177A-16A9-465D-8E64-3EC59CFB4A7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dataField="1" showAll="0"/>
  </pivotFields>
  <rowFields count="1">
    <field x="12"/>
  </rowFields>
  <rowItems count="5">
    <i>
      <x/>
    </i>
    <i>
      <x v="1"/>
    </i>
    <i>
      <x v="2"/>
    </i>
    <i>
      <x v="3"/>
    </i>
    <i t="grand">
      <x/>
    </i>
  </rowItems>
  <colItems count="1">
    <i/>
  </colItems>
  <dataFields count="1">
    <dataField name="Sum of cnt" fld="13" baseField="12"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FDF8B-9BCE-4288-8E50-9C326446F0A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5">
        <item x="0"/>
        <item x="1"/>
        <item x="3"/>
        <item x="2"/>
        <item t="default"/>
      </items>
    </pivotField>
    <pivotField dataField="1" showAll="0"/>
  </pivotFields>
  <rowFields count="1">
    <field x="10"/>
  </rowFields>
  <rowItems count="3">
    <i>
      <x/>
    </i>
    <i>
      <x v="1"/>
    </i>
    <i t="grand">
      <x/>
    </i>
  </rowItems>
  <colItems count="1">
    <i/>
  </colItems>
  <dataFields count="1">
    <dataField name="Sum of cnt" fld="13" baseField="1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 xr10:uid="{6F95E36A-1F1D-4442-874A-1D41818E8FDE}" sourceName="time_category">
  <pivotTables>
    <pivotTable tabId="6" name="PivotTable2"/>
  </pivotTables>
  <data>
    <tabular pivotCacheId="9356800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D2AA5978-A6DF-465E-AE88-2B732EE26754}" sourceName="weather_type">
  <pivotTables>
    <pivotTable tabId="6" name="PivotTable2"/>
    <pivotTable tabId="8" name="PivotTable3"/>
    <pivotTable tabId="9" name="PivotTable4"/>
  </pivotTables>
  <data>
    <tabular pivotCacheId="93568008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category" xr10:uid="{A8F5785E-E793-41BE-B761-145211EBB7C2}" cache="Slicer_time_category" caption="time_category" rowHeight="209550"/>
  <slicer name="weather_type" xr10:uid="{BA1B5FC7-C777-455F-8649-CBF37B7FAA56}" cache="Slicer_weather_type" caption="weather_type"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D3D4-79C8-4227-848C-94879FCA1F24}">
  <sheetPr>
    <outlinePr summaryBelow="0" summaryRight="0"/>
  </sheetPr>
  <dimension ref="A1:P391"/>
  <sheetViews>
    <sheetView topLeftCell="B1" workbookViewId="0"/>
  </sheetViews>
  <sheetFormatPr defaultColWidth="12.6640625" defaultRowHeight="15.75" customHeight="1" x14ac:dyDescent="0.25"/>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B05D-0125-40AA-AD74-711EBD562633}">
  <dimension ref="A1:H1000"/>
  <sheetViews>
    <sheetView workbookViewId="0"/>
  </sheetViews>
  <sheetFormatPr defaultColWidth="14.44140625" defaultRowHeight="15" customHeight="1" x14ac:dyDescent="0.25"/>
  <cols>
    <col min="1" max="4" width="8.6640625" style="3" customWidth="1"/>
    <col min="5" max="5" width="10.44140625" style="3" customWidth="1"/>
    <col min="6" max="6" width="8.6640625" style="3" customWidth="1"/>
    <col min="7" max="7" width="9.6640625" style="3" customWidth="1"/>
    <col min="8" max="8" width="4.33203125" style="3" customWidth="1"/>
    <col min="9" max="26" width="8.6640625" style="3" customWidth="1"/>
    <col min="27" max="16384" width="14.44140625" style="3"/>
  </cols>
  <sheetData>
    <row r="1" spans="1:8" ht="13.8" x14ac:dyDescent="0.25">
      <c r="A1" s="3" t="s">
        <v>10</v>
      </c>
      <c r="B1" s="3" t="s">
        <v>0</v>
      </c>
      <c r="C1" s="3" t="s">
        <v>11</v>
      </c>
      <c r="D1" s="3" t="s">
        <v>12</v>
      </c>
      <c r="E1" s="3" t="s">
        <v>13</v>
      </c>
      <c r="F1" s="3" t="s">
        <v>14</v>
      </c>
      <c r="G1" s="3" t="s">
        <v>15</v>
      </c>
      <c r="H1" s="3" t="s">
        <v>16</v>
      </c>
    </row>
    <row r="2" spans="1:8" ht="13.8" x14ac:dyDescent="0.25">
      <c r="A2" s="3">
        <v>0</v>
      </c>
      <c r="B2" s="3">
        <v>1</v>
      </c>
      <c r="C2" s="3">
        <v>0.28789999999999999</v>
      </c>
      <c r="D2" s="3">
        <v>0.81</v>
      </c>
      <c r="E2" s="3">
        <v>0</v>
      </c>
      <c r="F2" s="3">
        <v>3</v>
      </c>
      <c r="G2" s="3">
        <v>13</v>
      </c>
      <c r="H2" s="3">
        <v>16</v>
      </c>
    </row>
    <row r="3" spans="1:8" ht="13.8" x14ac:dyDescent="0.25">
      <c r="A3" s="3">
        <v>1</v>
      </c>
      <c r="B3" s="3">
        <v>2</v>
      </c>
      <c r="C3" s="3">
        <v>0.2727</v>
      </c>
      <c r="D3" s="3">
        <v>0.8</v>
      </c>
      <c r="E3" s="3">
        <v>0</v>
      </c>
      <c r="F3" s="3">
        <v>8</v>
      </c>
      <c r="G3" s="3">
        <v>32</v>
      </c>
      <c r="H3" s="3">
        <v>40</v>
      </c>
    </row>
    <row r="4" spans="1:8" ht="13.8" x14ac:dyDescent="0.25">
      <c r="A4" s="3">
        <v>2</v>
      </c>
      <c r="B4" s="3">
        <v>3</v>
      </c>
      <c r="C4" s="3">
        <v>0.2727</v>
      </c>
      <c r="D4" s="3">
        <v>0.8</v>
      </c>
      <c r="E4" s="3">
        <v>0</v>
      </c>
      <c r="F4" s="3">
        <v>5</v>
      </c>
      <c r="G4" s="3">
        <v>27</v>
      </c>
      <c r="H4" s="3">
        <v>32</v>
      </c>
    </row>
    <row r="5" spans="1:8" ht="13.8" x14ac:dyDescent="0.25">
      <c r="A5" s="3">
        <v>3</v>
      </c>
      <c r="B5" s="3">
        <v>4</v>
      </c>
      <c r="C5" s="3">
        <v>0.28789999999999999</v>
      </c>
      <c r="D5" s="3">
        <v>0.75</v>
      </c>
      <c r="E5" s="3">
        <v>0</v>
      </c>
      <c r="F5" s="3">
        <v>3</v>
      </c>
      <c r="G5" s="3">
        <v>10</v>
      </c>
      <c r="H5" s="3">
        <v>13</v>
      </c>
    </row>
    <row r="6" spans="1:8" ht="13.8" x14ac:dyDescent="0.25">
      <c r="A6" s="3">
        <v>4</v>
      </c>
      <c r="B6" s="3">
        <v>5</v>
      </c>
      <c r="C6" s="3">
        <v>0.28789999999999999</v>
      </c>
      <c r="D6" s="3">
        <v>0.75</v>
      </c>
      <c r="E6" s="3">
        <v>0</v>
      </c>
      <c r="F6" s="3">
        <v>0</v>
      </c>
      <c r="G6" s="3">
        <v>1</v>
      </c>
      <c r="H6" s="3">
        <v>1</v>
      </c>
    </row>
    <row r="7" spans="1:8" ht="13.8" x14ac:dyDescent="0.25">
      <c r="A7" s="3">
        <v>5</v>
      </c>
      <c r="B7" s="3">
        <v>6</v>
      </c>
      <c r="C7" s="3">
        <v>0.2576</v>
      </c>
      <c r="D7" s="3">
        <v>0.75</v>
      </c>
      <c r="E7" s="3">
        <v>8.9599999999999999E-2</v>
      </c>
      <c r="F7" s="3">
        <v>0</v>
      </c>
      <c r="G7" s="3">
        <v>1</v>
      </c>
      <c r="H7" s="3">
        <v>1</v>
      </c>
    </row>
    <row r="8" spans="1:8" ht="13.8" x14ac:dyDescent="0.25">
      <c r="A8" s="3">
        <v>6</v>
      </c>
      <c r="B8" s="3">
        <v>7</v>
      </c>
      <c r="C8" s="3">
        <v>0.2727</v>
      </c>
      <c r="D8" s="3">
        <v>0.8</v>
      </c>
      <c r="E8" s="3">
        <v>0</v>
      </c>
      <c r="F8" s="3">
        <v>2</v>
      </c>
      <c r="G8" s="3">
        <v>0</v>
      </c>
      <c r="H8" s="3">
        <v>2</v>
      </c>
    </row>
    <row r="9" spans="1:8" ht="13.8" x14ac:dyDescent="0.25">
      <c r="A9" s="3">
        <v>7</v>
      </c>
      <c r="B9" s="3">
        <v>8</v>
      </c>
      <c r="C9" s="3">
        <v>0.2576</v>
      </c>
      <c r="D9" s="3">
        <v>0.86</v>
      </c>
      <c r="E9" s="3">
        <v>0</v>
      </c>
      <c r="F9" s="3">
        <v>1</v>
      </c>
      <c r="G9" s="3">
        <v>2</v>
      </c>
      <c r="H9" s="3">
        <v>3</v>
      </c>
    </row>
    <row r="10" spans="1:8" ht="13.8" x14ac:dyDescent="0.25">
      <c r="A10" s="3">
        <v>8</v>
      </c>
      <c r="B10" s="3">
        <v>9</v>
      </c>
      <c r="D10" s="3">
        <v>0.75</v>
      </c>
      <c r="E10" s="3">
        <v>0</v>
      </c>
      <c r="F10" s="3">
        <v>1</v>
      </c>
      <c r="G10" s="3">
        <v>7</v>
      </c>
      <c r="H10" s="3">
        <v>8</v>
      </c>
    </row>
    <row r="11" spans="1:8" ht="13.8" x14ac:dyDescent="0.25">
      <c r="A11" s="3">
        <v>9</v>
      </c>
      <c r="B11" s="3">
        <v>10</v>
      </c>
      <c r="C11" s="3">
        <v>0.34849999999999998</v>
      </c>
      <c r="D11" s="3">
        <v>0.76</v>
      </c>
      <c r="E11" s="3">
        <v>0</v>
      </c>
      <c r="F11" s="3">
        <v>8</v>
      </c>
      <c r="G11" s="3">
        <v>6</v>
      </c>
      <c r="H11" s="3">
        <v>14</v>
      </c>
    </row>
    <row r="12" spans="1:8" ht="13.8" x14ac:dyDescent="0.25">
      <c r="A12" s="3">
        <v>10</v>
      </c>
      <c r="B12" s="3">
        <v>11</v>
      </c>
      <c r="C12" s="3">
        <v>0.39389999999999997</v>
      </c>
      <c r="D12" s="3">
        <v>0.76</v>
      </c>
      <c r="E12" s="3">
        <v>0.25369999999999998</v>
      </c>
      <c r="F12" s="3">
        <v>12</v>
      </c>
      <c r="G12" s="3">
        <v>24</v>
      </c>
      <c r="H12" s="3">
        <v>36</v>
      </c>
    </row>
    <row r="13" spans="1:8" ht="13.8" x14ac:dyDescent="0.25">
      <c r="A13" s="3">
        <v>11</v>
      </c>
      <c r="B13" s="3">
        <v>12</v>
      </c>
      <c r="C13" s="3">
        <v>0.33329999999999999</v>
      </c>
      <c r="D13" s="3">
        <v>0.81</v>
      </c>
      <c r="E13" s="3">
        <v>0.28360000000000002</v>
      </c>
      <c r="F13" s="3">
        <v>26</v>
      </c>
      <c r="G13" s="3">
        <v>30</v>
      </c>
      <c r="H13" s="3">
        <v>56</v>
      </c>
    </row>
    <row r="14" spans="1:8" ht="13.8" x14ac:dyDescent="0.25">
      <c r="A14" s="3">
        <v>12</v>
      </c>
      <c r="B14" s="3">
        <v>13</v>
      </c>
      <c r="C14" s="3">
        <v>0.42420000000000002</v>
      </c>
      <c r="D14" s="3">
        <v>0.77</v>
      </c>
      <c r="E14" s="3">
        <v>0.28360000000000002</v>
      </c>
      <c r="F14" s="3">
        <v>29</v>
      </c>
      <c r="G14" s="3">
        <v>55</v>
      </c>
      <c r="H14" s="3">
        <v>84</v>
      </c>
    </row>
    <row r="15" spans="1:8" ht="13.8" x14ac:dyDescent="0.25">
      <c r="A15" s="3">
        <v>13</v>
      </c>
      <c r="B15" s="3">
        <v>14</v>
      </c>
      <c r="C15" s="3">
        <v>0.45450000000000002</v>
      </c>
      <c r="D15" s="3">
        <v>0.72</v>
      </c>
      <c r="E15" s="3">
        <v>0.29849999999999999</v>
      </c>
      <c r="F15" s="3">
        <v>47</v>
      </c>
      <c r="G15" s="3">
        <v>47</v>
      </c>
      <c r="H15" s="3">
        <v>94</v>
      </c>
    </row>
    <row r="16" spans="1:8" ht="13.8" x14ac:dyDescent="0.25">
      <c r="A16" s="3">
        <v>14</v>
      </c>
      <c r="B16" s="3">
        <v>15</v>
      </c>
      <c r="C16" s="3">
        <v>0.45450000000000002</v>
      </c>
      <c r="D16" s="3">
        <v>0.72</v>
      </c>
      <c r="E16" s="3">
        <v>0.28360000000000002</v>
      </c>
      <c r="F16" s="3">
        <v>35</v>
      </c>
      <c r="G16" s="3">
        <v>71</v>
      </c>
      <c r="H16" s="3">
        <v>106</v>
      </c>
    </row>
    <row r="17" spans="1:8" ht="13.8" x14ac:dyDescent="0.25">
      <c r="A17" s="3">
        <v>15</v>
      </c>
      <c r="B17" s="3">
        <v>16</v>
      </c>
      <c r="C17" s="3">
        <v>0.43940000000000001</v>
      </c>
      <c r="D17" s="3">
        <v>0.77</v>
      </c>
      <c r="E17" s="3">
        <v>0.29849999999999999</v>
      </c>
      <c r="F17" s="3">
        <v>40</v>
      </c>
      <c r="G17" s="3">
        <v>70</v>
      </c>
      <c r="H17" s="3">
        <v>110</v>
      </c>
    </row>
    <row r="18" spans="1:8" ht="13.8" x14ac:dyDescent="0.25">
      <c r="A18" s="3">
        <v>16</v>
      </c>
      <c r="B18" s="3">
        <v>17</v>
      </c>
      <c r="C18" s="3">
        <v>0.42420000000000002</v>
      </c>
      <c r="D18" s="3">
        <v>0.82</v>
      </c>
      <c r="E18" s="3">
        <v>0.29849999999999999</v>
      </c>
      <c r="F18" s="3">
        <v>41</v>
      </c>
      <c r="G18" s="3">
        <v>52</v>
      </c>
      <c r="H18" s="3">
        <v>93</v>
      </c>
    </row>
    <row r="19" spans="1:8" ht="13.8" x14ac:dyDescent="0.25">
      <c r="A19" s="3">
        <v>17</v>
      </c>
      <c r="B19" s="3">
        <v>18</v>
      </c>
      <c r="D19" s="3">
        <v>0.82</v>
      </c>
      <c r="E19" s="3">
        <v>0.28360000000000002</v>
      </c>
      <c r="F19" s="3">
        <v>15</v>
      </c>
      <c r="G19" s="3">
        <v>52</v>
      </c>
      <c r="H19" s="3">
        <v>67</v>
      </c>
    </row>
    <row r="20" spans="1:8" ht="13.8" x14ac:dyDescent="0.25">
      <c r="A20" s="3">
        <v>18</v>
      </c>
      <c r="B20" s="3">
        <v>19</v>
      </c>
      <c r="C20" s="3">
        <v>0.42420000000000002</v>
      </c>
      <c r="D20" s="3">
        <v>0.88</v>
      </c>
      <c r="E20" s="3">
        <v>0.25369999999999998</v>
      </c>
      <c r="F20" s="3">
        <v>9</v>
      </c>
      <c r="G20" s="3">
        <v>26</v>
      </c>
      <c r="H20" s="3">
        <v>35</v>
      </c>
    </row>
    <row r="21" spans="1:8" ht="15.75" customHeight="1" x14ac:dyDescent="0.25">
      <c r="A21" s="3">
        <v>19</v>
      </c>
      <c r="B21" s="3">
        <v>20</v>
      </c>
      <c r="C21" s="3">
        <v>0.42420000000000002</v>
      </c>
      <c r="D21" s="3">
        <v>0.88</v>
      </c>
      <c r="E21" s="3">
        <v>0.25369999999999998</v>
      </c>
      <c r="F21" s="3">
        <v>6</v>
      </c>
      <c r="G21" s="3">
        <v>31</v>
      </c>
      <c r="H21" s="3">
        <v>37</v>
      </c>
    </row>
    <row r="22" spans="1:8" ht="15.75" customHeight="1" x14ac:dyDescent="0.25">
      <c r="A22" s="3">
        <v>20</v>
      </c>
      <c r="B22" s="3">
        <v>21</v>
      </c>
      <c r="C22" s="3">
        <v>0.40910000000000002</v>
      </c>
      <c r="D22" s="3">
        <v>0.87</v>
      </c>
      <c r="E22" s="3">
        <v>0.25369999999999998</v>
      </c>
      <c r="F22" s="3">
        <v>11</v>
      </c>
      <c r="G22" s="3">
        <v>25</v>
      </c>
      <c r="H22" s="3">
        <v>36</v>
      </c>
    </row>
    <row r="23" spans="1:8" ht="15.75" customHeight="1" x14ac:dyDescent="0.25">
      <c r="A23" s="3">
        <v>21</v>
      </c>
      <c r="B23" s="3">
        <v>22</v>
      </c>
      <c r="C23" s="3">
        <v>0.40910000000000002</v>
      </c>
      <c r="D23" s="3">
        <v>0.87</v>
      </c>
      <c r="E23" s="3">
        <v>0.19400000000000001</v>
      </c>
      <c r="F23" s="3">
        <v>3</v>
      </c>
      <c r="G23" s="3">
        <v>31</v>
      </c>
      <c r="H23" s="3">
        <v>34</v>
      </c>
    </row>
    <row r="24" spans="1:8" ht="15.75" customHeight="1" x14ac:dyDescent="0.25">
      <c r="A24" s="3">
        <v>22</v>
      </c>
      <c r="B24" s="3">
        <v>23</v>
      </c>
      <c r="C24" s="3">
        <v>0.40910000000000002</v>
      </c>
      <c r="D24" s="3">
        <v>0.94</v>
      </c>
      <c r="E24" s="3">
        <v>0.22389999999999999</v>
      </c>
      <c r="F24" s="3">
        <v>11</v>
      </c>
      <c r="G24" s="3">
        <v>17</v>
      </c>
      <c r="H24" s="3">
        <v>28</v>
      </c>
    </row>
    <row r="25" spans="1:8" ht="15.75" customHeight="1" x14ac:dyDescent="0.25">
      <c r="A25" s="3">
        <v>23</v>
      </c>
      <c r="B25" s="3">
        <v>24</v>
      </c>
      <c r="D25" s="3">
        <v>0.88</v>
      </c>
      <c r="E25" s="3">
        <v>0.29849999999999999</v>
      </c>
      <c r="F25" s="3">
        <v>15</v>
      </c>
      <c r="G25" s="3">
        <v>24</v>
      </c>
      <c r="H25" s="3">
        <v>39</v>
      </c>
    </row>
    <row r="26" spans="1:8" ht="15.75" customHeight="1" x14ac:dyDescent="0.25">
      <c r="A26" s="3">
        <v>24</v>
      </c>
      <c r="B26" s="3">
        <v>25</v>
      </c>
      <c r="C26" s="3">
        <v>0.45450000000000002</v>
      </c>
      <c r="D26" s="3">
        <v>0.88</v>
      </c>
      <c r="E26" s="3">
        <v>0.29849999999999999</v>
      </c>
      <c r="F26" s="3">
        <v>4</v>
      </c>
      <c r="G26" s="3">
        <v>13</v>
      </c>
      <c r="H26" s="3">
        <v>17</v>
      </c>
    </row>
    <row r="27" spans="1:8" ht="15.75" customHeight="1" x14ac:dyDescent="0.25">
      <c r="A27" s="3">
        <v>25</v>
      </c>
      <c r="B27" s="3">
        <v>26</v>
      </c>
      <c r="C27" s="3">
        <v>0.43940000000000001</v>
      </c>
      <c r="D27" s="3">
        <v>0.94</v>
      </c>
      <c r="E27" s="3">
        <v>0.25369999999999998</v>
      </c>
      <c r="F27" s="3">
        <v>1</v>
      </c>
      <c r="G27" s="3">
        <v>16</v>
      </c>
      <c r="H27" s="3">
        <v>17</v>
      </c>
    </row>
    <row r="28" spans="1:8" ht="15.75" customHeight="1" x14ac:dyDescent="0.25">
      <c r="A28" s="3">
        <v>26</v>
      </c>
      <c r="B28" s="3">
        <v>27</v>
      </c>
      <c r="C28" s="3">
        <v>0.42420000000000002</v>
      </c>
      <c r="D28" s="3">
        <v>1</v>
      </c>
      <c r="E28" s="3">
        <v>0.28360000000000002</v>
      </c>
      <c r="F28" s="3">
        <v>1</v>
      </c>
      <c r="G28" s="3">
        <v>8</v>
      </c>
      <c r="H28" s="3">
        <v>9</v>
      </c>
    </row>
    <row r="29" spans="1:8" ht="15.75" customHeight="1" x14ac:dyDescent="0.25">
      <c r="A29" s="3">
        <v>27</v>
      </c>
      <c r="B29" s="3">
        <v>28</v>
      </c>
      <c r="C29" s="3">
        <v>0.45450000000000002</v>
      </c>
      <c r="D29" s="3">
        <v>0.94</v>
      </c>
      <c r="E29" s="3">
        <v>0.19400000000000001</v>
      </c>
      <c r="F29" s="3">
        <v>2</v>
      </c>
      <c r="G29" s="3">
        <v>4</v>
      </c>
      <c r="H29" s="3">
        <v>6</v>
      </c>
    </row>
    <row r="30" spans="1:8" ht="15.75" customHeight="1" x14ac:dyDescent="0.25">
      <c r="A30" s="3">
        <v>28</v>
      </c>
      <c r="B30" s="3">
        <v>29</v>
      </c>
      <c r="D30" s="3">
        <v>0.94</v>
      </c>
      <c r="E30" s="3">
        <v>0.19400000000000001</v>
      </c>
      <c r="F30" s="3">
        <v>2</v>
      </c>
      <c r="G30" s="3">
        <v>1</v>
      </c>
      <c r="H30" s="3">
        <v>3</v>
      </c>
    </row>
    <row r="31" spans="1:8" ht="15.75" customHeight="1" x14ac:dyDescent="0.25">
      <c r="A31" s="3">
        <v>29</v>
      </c>
      <c r="B31" s="3">
        <v>30</v>
      </c>
      <c r="C31" s="3">
        <v>0.42420000000000002</v>
      </c>
      <c r="D31" s="3">
        <v>0.77</v>
      </c>
      <c r="E31" s="3">
        <v>0.29849999999999999</v>
      </c>
      <c r="F31" s="3">
        <v>0</v>
      </c>
      <c r="G31" s="3">
        <v>2</v>
      </c>
      <c r="H31" s="3">
        <v>2</v>
      </c>
    </row>
    <row r="32" spans="1:8" ht="15.75" customHeight="1" x14ac:dyDescent="0.25">
      <c r="A32" s="3">
        <v>30</v>
      </c>
      <c r="B32" s="3">
        <v>31</v>
      </c>
      <c r="C32" s="3">
        <v>0.40910000000000002</v>
      </c>
      <c r="D32" s="3">
        <v>0.76</v>
      </c>
      <c r="E32" s="3">
        <v>0.19400000000000001</v>
      </c>
      <c r="F32" s="3">
        <v>0</v>
      </c>
      <c r="G32" s="3">
        <v>1</v>
      </c>
      <c r="H32" s="3">
        <v>1</v>
      </c>
    </row>
    <row r="33" spans="1:8" ht="15.75" customHeight="1" x14ac:dyDescent="0.25">
      <c r="A33" s="3">
        <v>31</v>
      </c>
      <c r="B33" s="3">
        <v>32</v>
      </c>
      <c r="C33" s="3">
        <v>0.40910000000000002</v>
      </c>
      <c r="D33" s="3">
        <v>0.71</v>
      </c>
      <c r="E33" s="3">
        <v>0.22389999999999999</v>
      </c>
      <c r="F33" s="3">
        <v>0</v>
      </c>
      <c r="G33" s="3">
        <v>8</v>
      </c>
      <c r="H33" s="3">
        <v>8</v>
      </c>
    </row>
    <row r="34" spans="1:8" ht="15.75" customHeight="1" x14ac:dyDescent="0.25">
      <c r="A34" s="3">
        <v>32</v>
      </c>
      <c r="B34" s="3">
        <v>33</v>
      </c>
      <c r="D34" s="3">
        <v>0.76</v>
      </c>
      <c r="E34" s="3">
        <v>0.22389999999999999</v>
      </c>
      <c r="F34" s="3">
        <v>1</v>
      </c>
      <c r="G34" s="3">
        <v>19</v>
      </c>
      <c r="H34" s="3">
        <v>20</v>
      </c>
    </row>
    <row r="35" spans="1:8" ht="15.75" customHeight="1" x14ac:dyDescent="0.25">
      <c r="A35" s="3">
        <v>33</v>
      </c>
      <c r="B35" s="3">
        <v>34</v>
      </c>
      <c r="C35" s="3">
        <v>0.34849999999999998</v>
      </c>
      <c r="D35" s="3">
        <v>0.81</v>
      </c>
      <c r="E35" s="3">
        <v>0.22389999999999999</v>
      </c>
      <c r="F35" s="3">
        <v>7</v>
      </c>
      <c r="G35" s="3">
        <v>46</v>
      </c>
      <c r="H35" s="3">
        <v>53</v>
      </c>
    </row>
    <row r="36" spans="1:8" ht="15.75" customHeight="1" x14ac:dyDescent="0.25">
      <c r="A36" s="3">
        <v>34</v>
      </c>
      <c r="B36" s="3">
        <v>35</v>
      </c>
      <c r="C36" s="3">
        <v>0.33329999999999999</v>
      </c>
      <c r="D36" s="3">
        <v>0.71</v>
      </c>
      <c r="E36" s="3">
        <v>0.25369999999999998</v>
      </c>
      <c r="F36" s="3">
        <v>16</v>
      </c>
      <c r="G36" s="3">
        <v>54</v>
      </c>
      <c r="H36" s="3">
        <v>70</v>
      </c>
    </row>
    <row r="37" spans="1:8" ht="15.75" customHeight="1" x14ac:dyDescent="0.25">
      <c r="A37" s="3">
        <v>35</v>
      </c>
      <c r="B37" s="3">
        <v>36</v>
      </c>
      <c r="C37" s="3">
        <v>0.33329999999999999</v>
      </c>
      <c r="D37" s="3">
        <v>0.66</v>
      </c>
      <c r="E37" s="3">
        <v>0.29849999999999999</v>
      </c>
      <c r="F37" s="3">
        <v>20</v>
      </c>
      <c r="G37" s="3">
        <v>73</v>
      </c>
      <c r="H37" s="3">
        <v>93</v>
      </c>
    </row>
    <row r="38" spans="1:8" ht="15.75" customHeight="1" x14ac:dyDescent="0.25">
      <c r="A38" s="3">
        <v>36</v>
      </c>
      <c r="B38" s="3">
        <v>37</v>
      </c>
      <c r="C38" s="3">
        <v>0.34849999999999998</v>
      </c>
      <c r="D38" s="3">
        <v>0.66</v>
      </c>
      <c r="E38" s="3">
        <v>0.1343</v>
      </c>
      <c r="F38" s="3">
        <v>11</v>
      </c>
      <c r="G38" s="3">
        <v>64</v>
      </c>
      <c r="H38" s="3">
        <v>75</v>
      </c>
    </row>
    <row r="39" spans="1:8" ht="15.75" customHeight="1" x14ac:dyDescent="0.25">
      <c r="A39" s="3">
        <v>37</v>
      </c>
      <c r="B39" s="3">
        <v>38</v>
      </c>
      <c r="D39" s="3">
        <v>0.76</v>
      </c>
      <c r="E39" s="3">
        <v>0.19400000000000001</v>
      </c>
      <c r="F39" s="3">
        <v>4</v>
      </c>
      <c r="G39" s="3">
        <v>55</v>
      </c>
      <c r="H39" s="3">
        <v>59</v>
      </c>
    </row>
    <row r="40" spans="1:8" ht="15.75" customHeight="1" x14ac:dyDescent="0.25">
      <c r="A40" s="3">
        <v>38</v>
      </c>
      <c r="B40" s="3">
        <v>39</v>
      </c>
      <c r="C40" s="3">
        <v>0.33329999999999999</v>
      </c>
      <c r="D40" s="3">
        <v>0.81</v>
      </c>
      <c r="E40" s="3">
        <v>0.16420000000000001</v>
      </c>
      <c r="F40" s="3">
        <v>19</v>
      </c>
      <c r="G40" s="3">
        <v>55</v>
      </c>
      <c r="H40" s="3">
        <v>74</v>
      </c>
    </row>
    <row r="41" spans="1:8" ht="15.75" customHeight="1" x14ac:dyDescent="0.25">
      <c r="A41" s="3">
        <v>39</v>
      </c>
      <c r="B41" s="3">
        <v>40</v>
      </c>
      <c r="C41" s="3">
        <v>0.33329999999999999</v>
      </c>
      <c r="D41" s="3">
        <v>0.71</v>
      </c>
      <c r="E41" s="3">
        <v>0.16420000000000001</v>
      </c>
      <c r="F41" s="3">
        <v>9</v>
      </c>
      <c r="G41" s="3">
        <v>67</v>
      </c>
      <c r="H41" s="3">
        <v>76</v>
      </c>
    </row>
    <row r="42" spans="1:8" ht="15.75" customHeight="1" x14ac:dyDescent="0.25">
      <c r="A42" s="3">
        <v>40</v>
      </c>
      <c r="B42" s="3">
        <v>41</v>
      </c>
      <c r="C42" s="3">
        <v>0.33329999999999999</v>
      </c>
      <c r="D42" s="3">
        <v>0.56999999999999995</v>
      </c>
      <c r="E42" s="3">
        <v>0.19400000000000001</v>
      </c>
      <c r="F42" s="3">
        <v>7</v>
      </c>
      <c r="G42" s="3">
        <v>58</v>
      </c>
      <c r="H42" s="3">
        <v>65</v>
      </c>
    </row>
    <row r="43" spans="1:8" ht="15.75" customHeight="1" x14ac:dyDescent="0.25">
      <c r="A43" s="3">
        <v>41</v>
      </c>
      <c r="B43" s="3">
        <v>42</v>
      </c>
      <c r="C43" s="3">
        <v>0.33329999999999999</v>
      </c>
      <c r="D43" s="3">
        <v>0.46</v>
      </c>
      <c r="E43" s="3">
        <v>0.32840000000000003</v>
      </c>
      <c r="F43" s="3">
        <v>10</v>
      </c>
      <c r="G43" s="3">
        <v>43</v>
      </c>
      <c r="H43" s="3">
        <v>53</v>
      </c>
    </row>
    <row r="44" spans="1:8" ht="15.75" customHeight="1" x14ac:dyDescent="0.25">
      <c r="A44" s="3">
        <v>42</v>
      </c>
      <c r="B44" s="3">
        <v>43</v>
      </c>
      <c r="C44" s="3">
        <v>0.28789999999999999</v>
      </c>
      <c r="D44" s="3">
        <v>0.42</v>
      </c>
      <c r="E44" s="3">
        <v>0.44779999999999998</v>
      </c>
      <c r="F44" s="3">
        <v>1</v>
      </c>
      <c r="G44" s="3">
        <v>29</v>
      </c>
      <c r="H44" s="3">
        <v>30</v>
      </c>
    </row>
    <row r="45" spans="1:8" ht="15.75" customHeight="1" x14ac:dyDescent="0.25">
      <c r="A45" s="3">
        <v>43</v>
      </c>
      <c r="B45" s="3">
        <v>44</v>
      </c>
      <c r="D45" s="3">
        <v>0.39</v>
      </c>
      <c r="E45" s="3">
        <v>0.35820000000000002</v>
      </c>
      <c r="F45" s="3">
        <v>5</v>
      </c>
      <c r="G45" s="3">
        <v>17</v>
      </c>
      <c r="H45" s="3">
        <v>22</v>
      </c>
    </row>
    <row r="46" spans="1:8" ht="15.75" customHeight="1" x14ac:dyDescent="0.25">
      <c r="A46" s="3">
        <v>44</v>
      </c>
      <c r="B46" s="3">
        <v>45</v>
      </c>
      <c r="C46" s="3">
        <v>0.2273</v>
      </c>
      <c r="D46" s="3">
        <v>0.44</v>
      </c>
      <c r="E46" s="3">
        <v>0.32840000000000003</v>
      </c>
      <c r="F46" s="3">
        <v>11</v>
      </c>
      <c r="G46" s="3">
        <v>20</v>
      </c>
      <c r="H46" s="3">
        <v>31</v>
      </c>
    </row>
    <row r="47" spans="1:8" ht="15.75" customHeight="1" x14ac:dyDescent="0.25">
      <c r="A47" s="3">
        <v>45</v>
      </c>
      <c r="B47" s="3">
        <v>46</v>
      </c>
      <c r="C47" s="3">
        <v>0.21210000000000001</v>
      </c>
      <c r="D47" s="3">
        <v>0.44</v>
      </c>
      <c r="E47" s="3">
        <v>0.29849999999999999</v>
      </c>
      <c r="F47" s="3">
        <v>0</v>
      </c>
      <c r="G47" s="3">
        <v>9</v>
      </c>
      <c r="H47" s="3">
        <v>9</v>
      </c>
    </row>
    <row r="48" spans="1:8" ht="15.75" customHeight="1" x14ac:dyDescent="0.25">
      <c r="A48" s="3">
        <v>46</v>
      </c>
      <c r="B48" s="3">
        <v>47</v>
      </c>
      <c r="C48" s="3">
        <v>0.2273</v>
      </c>
      <c r="D48" s="3">
        <v>0.47</v>
      </c>
      <c r="E48" s="3">
        <v>0.16420000000000001</v>
      </c>
      <c r="F48" s="3">
        <v>0</v>
      </c>
      <c r="G48" s="3">
        <v>8</v>
      </c>
      <c r="H48" s="3">
        <v>8</v>
      </c>
    </row>
    <row r="49" spans="1:8" ht="15.75" customHeight="1" x14ac:dyDescent="0.25">
      <c r="A49" s="3">
        <v>47</v>
      </c>
      <c r="B49" s="3">
        <v>48</v>
      </c>
      <c r="C49" s="3">
        <v>0.19700000000000001</v>
      </c>
      <c r="D49" s="3">
        <v>0.44</v>
      </c>
      <c r="E49" s="3">
        <v>0.35820000000000002</v>
      </c>
      <c r="F49" s="3">
        <v>0</v>
      </c>
      <c r="G49" s="3">
        <v>5</v>
      </c>
      <c r="H49" s="3">
        <v>5</v>
      </c>
    </row>
    <row r="50" spans="1:8" ht="15.75" customHeight="1" x14ac:dyDescent="0.25">
      <c r="A50" s="3">
        <v>48</v>
      </c>
      <c r="B50" s="3">
        <v>49</v>
      </c>
      <c r="D50" s="3">
        <v>0.44</v>
      </c>
      <c r="E50" s="3">
        <v>0.41789999999999999</v>
      </c>
      <c r="F50" s="3">
        <v>0</v>
      </c>
      <c r="G50" s="3">
        <v>2</v>
      </c>
      <c r="H50" s="3">
        <v>2</v>
      </c>
    </row>
    <row r="51" spans="1:8" ht="15.75" customHeight="1" x14ac:dyDescent="0.25">
      <c r="A51" s="3">
        <v>49</v>
      </c>
      <c r="B51" s="3">
        <v>50</v>
      </c>
      <c r="C51" s="3">
        <v>0.13639999999999999</v>
      </c>
      <c r="D51" s="3">
        <v>0.47</v>
      </c>
      <c r="E51" s="3">
        <v>0.3881</v>
      </c>
      <c r="F51" s="3">
        <v>0</v>
      </c>
      <c r="G51" s="3">
        <v>1</v>
      </c>
      <c r="H51" s="3">
        <v>1</v>
      </c>
    </row>
    <row r="52" spans="1:8" ht="15.75" customHeight="1" x14ac:dyDescent="0.25">
      <c r="A52" s="3">
        <v>50</v>
      </c>
      <c r="B52" s="3">
        <v>51</v>
      </c>
      <c r="C52" s="3">
        <v>0.13639999999999999</v>
      </c>
      <c r="D52" s="3">
        <v>0.47</v>
      </c>
      <c r="E52" s="3">
        <v>0.28360000000000002</v>
      </c>
      <c r="F52" s="3">
        <v>0</v>
      </c>
      <c r="G52" s="3">
        <v>3</v>
      </c>
      <c r="H52" s="3">
        <v>3</v>
      </c>
    </row>
    <row r="53" spans="1:8" ht="15.75" customHeight="1" x14ac:dyDescent="0.25">
      <c r="A53" s="3">
        <v>51</v>
      </c>
      <c r="B53" s="3">
        <v>52</v>
      </c>
      <c r="C53" s="3">
        <v>0.1061</v>
      </c>
      <c r="D53" s="3">
        <v>0.5</v>
      </c>
      <c r="E53" s="3">
        <v>0.3881</v>
      </c>
      <c r="F53" s="3">
        <v>0</v>
      </c>
      <c r="G53" s="3">
        <v>30</v>
      </c>
      <c r="H53" s="3">
        <v>30</v>
      </c>
    </row>
    <row r="54" spans="1:8" ht="15.75" customHeight="1" x14ac:dyDescent="0.25">
      <c r="A54" s="3">
        <v>52</v>
      </c>
      <c r="B54" s="3">
        <v>53</v>
      </c>
      <c r="C54" s="3">
        <v>0.13639999999999999</v>
      </c>
      <c r="D54" s="3">
        <v>0.5</v>
      </c>
      <c r="E54" s="3">
        <v>0.19400000000000001</v>
      </c>
      <c r="F54" s="3">
        <v>1</v>
      </c>
      <c r="G54" s="3">
        <v>63</v>
      </c>
      <c r="H54" s="3">
        <v>64</v>
      </c>
    </row>
    <row r="55" spans="1:8" ht="15.75" customHeight="1" x14ac:dyDescent="0.25">
      <c r="A55" s="3">
        <v>53</v>
      </c>
      <c r="B55" s="3">
        <v>54</v>
      </c>
      <c r="C55" s="3">
        <v>0.1212</v>
      </c>
      <c r="D55" s="3">
        <v>0.5</v>
      </c>
      <c r="E55" s="3">
        <v>0.28360000000000002</v>
      </c>
      <c r="F55" s="3">
        <v>1</v>
      </c>
      <c r="G55" s="3">
        <v>153</v>
      </c>
      <c r="H55" s="3">
        <v>154</v>
      </c>
    </row>
    <row r="56" spans="1:8" ht="15.75" customHeight="1" x14ac:dyDescent="0.25">
      <c r="A56" s="3">
        <v>54</v>
      </c>
      <c r="B56" s="3">
        <v>55</v>
      </c>
      <c r="C56" s="3">
        <v>0.13639999999999999</v>
      </c>
      <c r="D56" s="3">
        <v>0.43</v>
      </c>
      <c r="E56" s="3">
        <v>0.3881</v>
      </c>
      <c r="F56" s="3">
        <v>7</v>
      </c>
      <c r="G56" s="3">
        <v>81</v>
      </c>
      <c r="H56" s="3">
        <v>88</v>
      </c>
    </row>
    <row r="57" spans="1:8" ht="15.75" customHeight="1" x14ac:dyDescent="0.25">
      <c r="A57" s="3">
        <v>55</v>
      </c>
      <c r="B57" s="3">
        <v>56</v>
      </c>
      <c r="C57" s="3">
        <v>0.16669999999999999</v>
      </c>
      <c r="D57" s="3">
        <v>0.43</v>
      </c>
      <c r="E57" s="3">
        <v>0.25369999999999998</v>
      </c>
      <c r="F57" s="3">
        <v>11</v>
      </c>
      <c r="G57" s="3">
        <v>33</v>
      </c>
      <c r="H57" s="3">
        <v>44</v>
      </c>
    </row>
    <row r="58" spans="1:8" ht="15.75" customHeight="1" x14ac:dyDescent="0.25">
      <c r="A58" s="3">
        <v>56</v>
      </c>
      <c r="B58" s="3">
        <v>57</v>
      </c>
      <c r="C58" s="3">
        <v>0.18179999999999999</v>
      </c>
      <c r="D58" s="3">
        <v>0.4</v>
      </c>
      <c r="E58" s="3">
        <v>0.32840000000000003</v>
      </c>
      <c r="F58" s="3">
        <v>10</v>
      </c>
      <c r="G58" s="3">
        <v>41</v>
      </c>
      <c r="H58" s="3">
        <v>51</v>
      </c>
    </row>
    <row r="59" spans="1:8" ht="15.75" customHeight="1" x14ac:dyDescent="0.25">
      <c r="A59" s="3">
        <v>57</v>
      </c>
      <c r="B59" s="3">
        <v>58</v>
      </c>
      <c r="C59" s="3">
        <v>0.21210000000000001</v>
      </c>
      <c r="D59" s="3">
        <v>0.35</v>
      </c>
      <c r="E59" s="3">
        <v>0.29849999999999999</v>
      </c>
      <c r="F59" s="3">
        <v>13</v>
      </c>
      <c r="G59" s="3">
        <v>48</v>
      </c>
      <c r="H59" s="3">
        <v>61</v>
      </c>
    </row>
    <row r="60" spans="1:8" ht="15.75" customHeight="1" x14ac:dyDescent="0.25">
      <c r="A60" s="3">
        <v>58</v>
      </c>
      <c r="B60" s="3">
        <v>59</v>
      </c>
      <c r="D60" s="3">
        <v>0.35</v>
      </c>
      <c r="E60" s="3">
        <v>0.28360000000000002</v>
      </c>
      <c r="F60" s="3">
        <v>8</v>
      </c>
      <c r="G60" s="3">
        <v>53</v>
      </c>
      <c r="H60" s="3">
        <v>61</v>
      </c>
    </row>
    <row r="61" spans="1:8" ht="15.75" customHeight="1" x14ac:dyDescent="0.25">
      <c r="A61" s="3">
        <v>59</v>
      </c>
      <c r="B61" s="3">
        <v>60</v>
      </c>
      <c r="C61" s="3">
        <v>0.2424</v>
      </c>
      <c r="D61" s="3">
        <v>0.3</v>
      </c>
      <c r="E61" s="3">
        <v>0.28360000000000002</v>
      </c>
      <c r="F61" s="3">
        <v>11</v>
      </c>
      <c r="G61" s="3">
        <v>66</v>
      </c>
      <c r="H61" s="3">
        <v>77</v>
      </c>
    </row>
    <row r="62" spans="1:8" ht="15.75" customHeight="1" x14ac:dyDescent="0.25">
      <c r="A62" s="3">
        <v>60</v>
      </c>
      <c r="B62" s="3">
        <v>61</v>
      </c>
      <c r="C62" s="3">
        <v>0.2424</v>
      </c>
      <c r="D62" s="3">
        <v>0.3</v>
      </c>
      <c r="E62" s="3">
        <v>0.25369999999999998</v>
      </c>
      <c r="F62" s="3">
        <v>14</v>
      </c>
      <c r="G62" s="3">
        <v>58</v>
      </c>
      <c r="H62" s="3">
        <v>72</v>
      </c>
    </row>
    <row r="63" spans="1:8" ht="15.75" customHeight="1" x14ac:dyDescent="0.25">
      <c r="A63" s="3">
        <v>61</v>
      </c>
      <c r="B63" s="3">
        <v>62</v>
      </c>
      <c r="C63" s="3">
        <v>0.2424</v>
      </c>
      <c r="D63" s="3">
        <v>0.3</v>
      </c>
      <c r="E63" s="3">
        <v>0.25369999999999998</v>
      </c>
      <c r="F63" s="3">
        <v>9</v>
      </c>
      <c r="G63" s="3">
        <v>67</v>
      </c>
      <c r="H63" s="3">
        <v>76</v>
      </c>
    </row>
    <row r="64" spans="1:8" ht="15.75" customHeight="1" x14ac:dyDescent="0.25">
      <c r="A64" s="3">
        <v>62</v>
      </c>
      <c r="B64" s="3">
        <v>63</v>
      </c>
      <c r="C64" s="3">
        <v>0.2273</v>
      </c>
      <c r="D64" s="3">
        <v>0.3</v>
      </c>
      <c r="E64" s="3">
        <v>0.22389999999999999</v>
      </c>
      <c r="F64" s="3">
        <v>11</v>
      </c>
      <c r="G64" s="3">
        <v>146</v>
      </c>
      <c r="H64" s="3">
        <v>157</v>
      </c>
    </row>
    <row r="65" spans="1:8" ht="15.75" customHeight="1" x14ac:dyDescent="0.25">
      <c r="A65" s="3">
        <v>63</v>
      </c>
      <c r="B65" s="3">
        <v>64</v>
      </c>
      <c r="C65" s="3">
        <v>0.2576</v>
      </c>
      <c r="D65" s="3">
        <v>0.32</v>
      </c>
      <c r="E65" s="3">
        <v>0.1045</v>
      </c>
      <c r="F65" s="3">
        <v>9</v>
      </c>
      <c r="G65" s="3">
        <v>148</v>
      </c>
      <c r="H65" s="3">
        <v>157</v>
      </c>
    </row>
    <row r="66" spans="1:8" ht="15.75" customHeight="1" x14ac:dyDescent="0.25">
      <c r="A66" s="3">
        <v>64</v>
      </c>
      <c r="B66" s="3">
        <v>65</v>
      </c>
      <c r="C66" s="3">
        <v>0.2576</v>
      </c>
      <c r="D66" s="3">
        <v>0.47</v>
      </c>
      <c r="E66" s="3">
        <v>0</v>
      </c>
      <c r="F66" s="3">
        <v>8</v>
      </c>
      <c r="G66" s="3">
        <v>102</v>
      </c>
      <c r="H66" s="3">
        <v>110</v>
      </c>
    </row>
    <row r="67" spans="1:8" ht="15.75" customHeight="1" x14ac:dyDescent="0.25">
      <c r="A67" s="3">
        <v>65</v>
      </c>
      <c r="B67" s="3">
        <v>66</v>
      </c>
      <c r="D67" s="3">
        <v>0.47</v>
      </c>
      <c r="E67" s="3">
        <v>0.1045</v>
      </c>
      <c r="F67" s="3">
        <v>3</v>
      </c>
      <c r="G67" s="3">
        <v>49</v>
      </c>
      <c r="H67" s="3">
        <v>52</v>
      </c>
    </row>
    <row r="68" spans="1:8" ht="15.75" customHeight="1" x14ac:dyDescent="0.25">
      <c r="A68" s="3">
        <v>66</v>
      </c>
      <c r="B68" s="3">
        <v>67</v>
      </c>
      <c r="C68" s="3">
        <v>0.19700000000000001</v>
      </c>
      <c r="D68" s="3">
        <v>0.64</v>
      </c>
      <c r="E68" s="3">
        <v>0.1343</v>
      </c>
      <c r="F68" s="3">
        <v>3</v>
      </c>
      <c r="G68" s="3">
        <v>49</v>
      </c>
      <c r="H68" s="3">
        <v>52</v>
      </c>
    </row>
    <row r="69" spans="1:8" ht="15.75" customHeight="1" x14ac:dyDescent="0.25">
      <c r="A69" s="3">
        <v>67</v>
      </c>
      <c r="B69" s="3">
        <v>68</v>
      </c>
      <c r="C69" s="3">
        <v>0.1515</v>
      </c>
      <c r="D69" s="3">
        <v>0.69</v>
      </c>
      <c r="E69" s="3">
        <v>0.1343</v>
      </c>
      <c r="F69" s="3">
        <v>0</v>
      </c>
      <c r="G69" s="3">
        <v>20</v>
      </c>
      <c r="H69" s="3">
        <v>20</v>
      </c>
    </row>
    <row r="70" spans="1:8" ht="15.75" customHeight="1" x14ac:dyDescent="0.25">
      <c r="A70" s="3">
        <v>68</v>
      </c>
      <c r="B70" s="3">
        <v>69</v>
      </c>
      <c r="C70" s="3">
        <v>0.21210000000000001</v>
      </c>
      <c r="D70" s="3">
        <v>0.55000000000000004</v>
      </c>
      <c r="E70" s="3">
        <v>0.1045</v>
      </c>
      <c r="F70" s="3">
        <v>1</v>
      </c>
      <c r="G70" s="3">
        <v>11</v>
      </c>
      <c r="H70" s="3">
        <v>12</v>
      </c>
    </row>
    <row r="71" spans="1:8" ht="15.75" customHeight="1" x14ac:dyDescent="0.25">
      <c r="A71" s="3">
        <v>69</v>
      </c>
      <c r="B71" s="3">
        <v>70</v>
      </c>
      <c r="D71" s="3">
        <v>0.55000000000000004</v>
      </c>
      <c r="E71" s="3">
        <v>0.1045</v>
      </c>
      <c r="F71" s="3">
        <v>0</v>
      </c>
      <c r="G71" s="3">
        <v>5</v>
      </c>
      <c r="H71" s="3">
        <v>5</v>
      </c>
    </row>
    <row r="72" spans="1:8" ht="15.75" customHeight="1" x14ac:dyDescent="0.25">
      <c r="A72" s="3">
        <v>70</v>
      </c>
      <c r="B72" s="3">
        <v>71</v>
      </c>
      <c r="C72" s="3">
        <v>0.18179999999999999</v>
      </c>
      <c r="D72" s="3">
        <v>0.59</v>
      </c>
      <c r="E72" s="3">
        <v>0.1045</v>
      </c>
      <c r="F72" s="3">
        <v>0</v>
      </c>
      <c r="G72" s="3">
        <v>2</v>
      </c>
      <c r="H72" s="3">
        <v>2</v>
      </c>
    </row>
    <row r="73" spans="1:8" ht="15.75" customHeight="1" x14ac:dyDescent="0.25">
      <c r="A73" s="3">
        <v>71</v>
      </c>
      <c r="B73" s="3">
        <v>72</v>
      </c>
      <c r="C73" s="3">
        <v>0.1515</v>
      </c>
      <c r="D73" s="3">
        <v>0.63</v>
      </c>
      <c r="E73" s="3">
        <v>0.1343</v>
      </c>
      <c r="F73" s="3">
        <v>0</v>
      </c>
      <c r="G73" s="3">
        <v>1</v>
      </c>
      <c r="H73" s="3">
        <v>1</v>
      </c>
    </row>
    <row r="74" spans="1:8" ht="15.75" customHeight="1" x14ac:dyDescent="0.25">
      <c r="A74" s="3">
        <v>72</v>
      </c>
      <c r="B74" s="3">
        <v>73</v>
      </c>
      <c r="C74" s="3">
        <v>0.18179999999999999</v>
      </c>
      <c r="D74" s="3">
        <v>0.63</v>
      </c>
      <c r="E74" s="3">
        <v>8.9599999999999999E-2</v>
      </c>
      <c r="F74" s="3">
        <v>0</v>
      </c>
      <c r="G74" s="3">
        <v>2</v>
      </c>
      <c r="H74" s="3">
        <v>2</v>
      </c>
    </row>
    <row r="75" spans="1:8" ht="15.75" customHeight="1" x14ac:dyDescent="0.25">
      <c r="A75" s="3">
        <v>73</v>
      </c>
      <c r="B75" s="3">
        <v>74</v>
      </c>
      <c r="C75" s="3">
        <v>0.1515</v>
      </c>
      <c r="D75" s="3">
        <v>0.68</v>
      </c>
      <c r="E75" s="3">
        <v>0.1045</v>
      </c>
      <c r="F75" s="3">
        <v>0</v>
      </c>
      <c r="G75" s="3">
        <v>4</v>
      </c>
      <c r="H75" s="3">
        <v>4</v>
      </c>
    </row>
    <row r="76" spans="1:8" ht="15.75" customHeight="1" x14ac:dyDescent="0.25">
      <c r="A76" s="3">
        <v>74</v>
      </c>
      <c r="B76" s="3">
        <v>75</v>
      </c>
      <c r="C76" s="3">
        <v>0.1515</v>
      </c>
      <c r="D76" s="3">
        <v>0.74</v>
      </c>
      <c r="E76" s="3">
        <v>0.1045</v>
      </c>
      <c r="F76" s="3">
        <v>0</v>
      </c>
      <c r="G76" s="3">
        <v>36</v>
      </c>
      <c r="H76" s="3">
        <v>36</v>
      </c>
    </row>
    <row r="77" spans="1:8" ht="15.75" customHeight="1" x14ac:dyDescent="0.25">
      <c r="A77" s="3">
        <v>75</v>
      </c>
      <c r="B77" s="3">
        <v>76</v>
      </c>
      <c r="C77" s="3">
        <v>0.1515</v>
      </c>
      <c r="D77" s="3">
        <v>0.74</v>
      </c>
      <c r="E77" s="3">
        <v>0.1343</v>
      </c>
      <c r="F77" s="3">
        <v>2</v>
      </c>
      <c r="G77" s="3">
        <v>92</v>
      </c>
      <c r="H77" s="3">
        <v>94</v>
      </c>
    </row>
    <row r="78" spans="1:8" ht="15.75" customHeight="1" x14ac:dyDescent="0.25">
      <c r="A78" s="3">
        <v>76</v>
      </c>
      <c r="B78" s="3">
        <v>77</v>
      </c>
      <c r="C78" s="3">
        <v>0.1515</v>
      </c>
      <c r="D78" s="3">
        <v>0.69</v>
      </c>
      <c r="E78" s="3">
        <v>0.16420000000000001</v>
      </c>
      <c r="F78" s="3">
        <v>2</v>
      </c>
      <c r="G78" s="3">
        <v>177</v>
      </c>
      <c r="H78" s="3">
        <v>179</v>
      </c>
    </row>
    <row r="79" spans="1:8" ht="15.75" customHeight="1" x14ac:dyDescent="0.25">
      <c r="A79" s="3">
        <v>77</v>
      </c>
      <c r="B79" s="3">
        <v>78</v>
      </c>
      <c r="C79" s="3">
        <v>0.1515</v>
      </c>
      <c r="D79" s="3">
        <v>0.64</v>
      </c>
      <c r="E79" s="3">
        <v>0.22389999999999999</v>
      </c>
      <c r="F79" s="3">
        <v>2</v>
      </c>
      <c r="G79" s="3">
        <v>98</v>
      </c>
      <c r="H79" s="3">
        <v>100</v>
      </c>
    </row>
    <row r="80" spans="1:8" ht="15.75" customHeight="1" x14ac:dyDescent="0.25">
      <c r="A80" s="3">
        <v>78</v>
      </c>
      <c r="B80" s="3">
        <v>79</v>
      </c>
      <c r="C80" s="3">
        <v>0.13639999999999999</v>
      </c>
      <c r="D80" s="3">
        <v>0.69</v>
      </c>
      <c r="E80" s="3">
        <v>0.32840000000000003</v>
      </c>
      <c r="F80" s="3">
        <v>5</v>
      </c>
      <c r="G80" s="3">
        <v>37</v>
      </c>
      <c r="H80" s="3">
        <v>42</v>
      </c>
    </row>
    <row r="81" spans="1:8" ht="15.75" customHeight="1" x14ac:dyDescent="0.25">
      <c r="A81" s="3">
        <v>79</v>
      </c>
      <c r="B81" s="3">
        <v>80</v>
      </c>
      <c r="C81" s="3">
        <v>0.21210000000000001</v>
      </c>
      <c r="D81" s="3">
        <v>0.51</v>
      </c>
      <c r="E81" s="3">
        <v>0.29849999999999999</v>
      </c>
      <c r="F81" s="3">
        <v>7</v>
      </c>
      <c r="G81" s="3">
        <v>50</v>
      </c>
      <c r="H81" s="3">
        <v>57</v>
      </c>
    </row>
    <row r="82" spans="1:8" ht="15.75" customHeight="1" x14ac:dyDescent="0.25">
      <c r="A82" s="3">
        <v>80</v>
      </c>
      <c r="B82" s="3">
        <v>81</v>
      </c>
      <c r="C82" s="3">
        <v>0.2273</v>
      </c>
      <c r="D82" s="3">
        <v>0.51</v>
      </c>
      <c r="E82" s="3">
        <v>0.16420000000000001</v>
      </c>
      <c r="F82" s="3">
        <v>12</v>
      </c>
      <c r="G82" s="3">
        <v>66</v>
      </c>
      <c r="H82" s="3">
        <v>78</v>
      </c>
    </row>
    <row r="83" spans="1:8" ht="15.75" customHeight="1" x14ac:dyDescent="0.25">
      <c r="A83" s="3">
        <v>81</v>
      </c>
      <c r="B83" s="3">
        <v>82</v>
      </c>
      <c r="C83" s="3">
        <v>0.2273</v>
      </c>
      <c r="D83" s="3">
        <v>0.56000000000000005</v>
      </c>
      <c r="E83" s="3">
        <v>0.19400000000000001</v>
      </c>
      <c r="F83" s="3">
        <v>18</v>
      </c>
      <c r="G83" s="3">
        <v>79</v>
      </c>
      <c r="H83" s="3">
        <v>97</v>
      </c>
    </row>
    <row r="84" spans="1:8" ht="15.75" customHeight="1" x14ac:dyDescent="0.25">
      <c r="A84" s="3">
        <v>82</v>
      </c>
      <c r="B84" s="3">
        <v>83</v>
      </c>
      <c r="C84" s="3">
        <v>0.2576</v>
      </c>
      <c r="D84" s="3">
        <v>0.52</v>
      </c>
      <c r="E84" s="3">
        <v>0.22389999999999999</v>
      </c>
      <c r="F84" s="3">
        <v>9</v>
      </c>
      <c r="G84" s="3">
        <v>54</v>
      </c>
      <c r="H84" s="3">
        <v>63</v>
      </c>
    </row>
    <row r="85" spans="1:8" ht="15.75" customHeight="1" x14ac:dyDescent="0.25">
      <c r="A85" s="3">
        <v>83</v>
      </c>
      <c r="B85" s="3">
        <v>84</v>
      </c>
      <c r="C85" s="3">
        <v>0.2727</v>
      </c>
      <c r="D85" s="3">
        <v>0.52</v>
      </c>
      <c r="E85" s="3">
        <v>0.25369999999999998</v>
      </c>
      <c r="F85" s="3">
        <v>17</v>
      </c>
      <c r="G85" s="3">
        <v>48</v>
      </c>
      <c r="H85" s="3">
        <v>65</v>
      </c>
    </row>
    <row r="86" spans="1:8" ht="15.75" customHeight="1" x14ac:dyDescent="0.25">
      <c r="A86" s="3">
        <v>84</v>
      </c>
      <c r="B86" s="3">
        <v>85</v>
      </c>
      <c r="C86" s="3">
        <v>0.28789999999999999</v>
      </c>
      <c r="D86" s="3">
        <v>0.49</v>
      </c>
      <c r="E86" s="3">
        <v>0.25369999999999998</v>
      </c>
      <c r="F86" s="3">
        <v>15</v>
      </c>
      <c r="G86" s="3">
        <v>68</v>
      </c>
      <c r="H86" s="3">
        <v>83</v>
      </c>
    </row>
    <row r="87" spans="1:8" ht="15.75" customHeight="1" x14ac:dyDescent="0.25">
      <c r="A87" s="3">
        <v>85</v>
      </c>
      <c r="B87" s="3">
        <v>86</v>
      </c>
      <c r="C87" s="3">
        <v>0.2727</v>
      </c>
      <c r="D87" s="3">
        <v>0.48</v>
      </c>
      <c r="E87" s="3">
        <v>0.22389999999999999</v>
      </c>
      <c r="F87" s="3">
        <v>10</v>
      </c>
      <c r="G87" s="3">
        <v>202</v>
      </c>
      <c r="H87" s="3">
        <v>212</v>
      </c>
    </row>
    <row r="88" spans="1:8" ht="15.75" customHeight="1" x14ac:dyDescent="0.25">
      <c r="A88" s="3">
        <v>86</v>
      </c>
      <c r="B88" s="3">
        <v>87</v>
      </c>
      <c r="C88" s="3">
        <v>0.2576</v>
      </c>
      <c r="D88" s="3">
        <v>0.48</v>
      </c>
      <c r="E88" s="3">
        <v>0.19400000000000001</v>
      </c>
      <c r="F88" s="3">
        <v>3</v>
      </c>
      <c r="G88" s="3">
        <v>179</v>
      </c>
      <c r="H88" s="3">
        <v>182</v>
      </c>
    </row>
    <row r="89" spans="1:8" ht="15.75" customHeight="1" x14ac:dyDescent="0.25">
      <c r="A89" s="3">
        <v>87</v>
      </c>
      <c r="B89" s="3">
        <v>88</v>
      </c>
      <c r="C89" s="3">
        <v>0.2576</v>
      </c>
      <c r="D89" s="3">
        <v>0.48</v>
      </c>
      <c r="E89" s="3">
        <v>0.1045</v>
      </c>
      <c r="F89" s="3">
        <v>2</v>
      </c>
      <c r="G89" s="3">
        <v>110</v>
      </c>
      <c r="H89" s="3">
        <v>112</v>
      </c>
    </row>
    <row r="90" spans="1:8" ht="15.75" customHeight="1" x14ac:dyDescent="0.25">
      <c r="A90" s="3">
        <v>88</v>
      </c>
      <c r="B90" s="3">
        <v>89</v>
      </c>
      <c r="C90" s="3">
        <v>0.2576</v>
      </c>
      <c r="D90" s="3">
        <v>0.48</v>
      </c>
      <c r="E90" s="3">
        <v>0.1045</v>
      </c>
      <c r="F90" s="3">
        <v>1</v>
      </c>
      <c r="G90" s="3">
        <v>53</v>
      </c>
      <c r="H90" s="3">
        <v>54</v>
      </c>
    </row>
    <row r="91" spans="1:8" ht="15.75" customHeight="1" x14ac:dyDescent="0.25">
      <c r="A91" s="3">
        <v>89</v>
      </c>
      <c r="B91" s="3">
        <v>90</v>
      </c>
      <c r="C91" s="3">
        <v>0.2727</v>
      </c>
      <c r="D91" s="3">
        <v>0.64</v>
      </c>
      <c r="E91" s="3">
        <v>0</v>
      </c>
      <c r="F91" s="3">
        <v>0</v>
      </c>
      <c r="G91" s="3">
        <v>48</v>
      </c>
      <c r="H91" s="3">
        <v>48</v>
      </c>
    </row>
    <row r="92" spans="1:8" ht="15.75" customHeight="1" x14ac:dyDescent="0.25">
      <c r="A92" s="3">
        <v>90</v>
      </c>
      <c r="B92" s="3">
        <v>91</v>
      </c>
      <c r="C92" s="3">
        <v>0.2576</v>
      </c>
      <c r="D92" s="3">
        <v>0.64</v>
      </c>
      <c r="E92" s="3">
        <v>8.9599999999999999E-2</v>
      </c>
      <c r="F92" s="3">
        <v>1</v>
      </c>
      <c r="G92" s="3">
        <v>34</v>
      </c>
      <c r="H92" s="3">
        <v>35</v>
      </c>
    </row>
    <row r="93" spans="1:8" ht="15.75" customHeight="1" x14ac:dyDescent="0.25">
      <c r="A93" s="3">
        <v>91</v>
      </c>
      <c r="B93" s="3">
        <v>92</v>
      </c>
      <c r="C93" s="3">
        <v>0.2273</v>
      </c>
      <c r="D93" s="3">
        <v>0.69</v>
      </c>
      <c r="E93" s="3">
        <v>8.9599999999999999E-2</v>
      </c>
      <c r="F93" s="3">
        <v>2</v>
      </c>
      <c r="G93" s="3">
        <v>9</v>
      </c>
      <c r="H93" s="3">
        <v>11</v>
      </c>
    </row>
    <row r="94" spans="1:8" ht="15.75" customHeight="1" x14ac:dyDescent="0.25">
      <c r="A94" s="3">
        <v>92</v>
      </c>
      <c r="B94" s="3">
        <v>93</v>
      </c>
      <c r="C94" s="3">
        <v>0.2576</v>
      </c>
      <c r="D94" s="3">
        <v>0.64</v>
      </c>
      <c r="E94" s="3">
        <v>0</v>
      </c>
      <c r="F94" s="3">
        <v>0</v>
      </c>
      <c r="G94" s="3">
        <v>6</v>
      </c>
      <c r="H94" s="3">
        <v>6</v>
      </c>
    </row>
    <row r="95" spans="1:8" ht="15.75" customHeight="1" x14ac:dyDescent="0.25">
      <c r="A95" s="3">
        <v>93</v>
      </c>
      <c r="B95" s="3">
        <v>94</v>
      </c>
      <c r="C95" s="3">
        <v>0.19700000000000001</v>
      </c>
      <c r="D95" s="3">
        <v>0.74</v>
      </c>
      <c r="E95" s="3">
        <v>8.9599999999999999E-2</v>
      </c>
      <c r="F95" s="3">
        <v>0</v>
      </c>
      <c r="G95" s="3">
        <v>6</v>
      </c>
      <c r="H95" s="3">
        <v>6</v>
      </c>
    </row>
    <row r="96" spans="1:8" ht="15.75" customHeight="1" x14ac:dyDescent="0.25">
      <c r="A96" s="3">
        <v>94</v>
      </c>
      <c r="B96" s="3">
        <v>95</v>
      </c>
      <c r="C96" s="3">
        <v>0.19700000000000001</v>
      </c>
      <c r="D96" s="3">
        <v>0.74</v>
      </c>
      <c r="E96" s="3">
        <v>8.9599999999999999E-2</v>
      </c>
      <c r="F96" s="3">
        <v>0</v>
      </c>
      <c r="G96" s="3">
        <v>2</v>
      </c>
      <c r="H96" s="3">
        <v>2</v>
      </c>
    </row>
    <row r="97" spans="1:8" ht="15.75" customHeight="1" x14ac:dyDescent="0.25">
      <c r="A97" s="3">
        <v>95</v>
      </c>
      <c r="B97" s="3">
        <v>96</v>
      </c>
      <c r="C97" s="3">
        <v>0.2273</v>
      </c>
      <c r="D97" s="3">
        <v>0.48</v>
      </c>
      <c r="E97" s="3">
        <v>0.22389999999999999</v>
      </c>
      <c r="F97" s="3">
        <v>0</v>
      </c>
      <c r="G97" s="3">
        <v>2</v>
      </c>
      <c r="H97" s="3">
        <v>2</v>
      </c>
    </row>
    <row r="98" spans="1:8" ht="15.75" customHeight="1" x14ac:dyDescent="0.25">
      <c r="A98" s="3">
        <v>96</v>
      </c>
      <c r="B98" s="3">
        <v>97</v>
      </c>
      <c r="C98" s="3">
        <v>0.2273</v>
      </c>
      <c r="D98" s="3">
        <v>0.47</v>
      </c>
      <c r="E98" s="3">
        <v>0.16420000000000001</v>
      </c>
      <c r="F98" s="3">
        <v>0</v>
      </c>
      <c r="G98" s="3">
        <v>3</v>
      </c>
      <c r="H98" s="3">
        <v>3</v>
      </c>
    </row>
    <row r="99" spans="1:8" ht="15.75" customHeight="1" x14ac:dyDescent="0.25">
      <c r="A99" s="3">
        <v>97</v>
      </c>
      <c r="B99" s="3">
        <v>98</v>
      </c>
      <c r="C99" s="3">
        <v>0.19700000000000001</v>
      </c>
      <c r="D99" s="3">
        <v>0.47</v>
      </c>
      <c r="E99" s="3">
        <v>0.22389999999999999</v>
      </c>
      <c r="F99" s="3">
        <v>0</v>
      </c>
      <c r="G99" s="3">
        <v>33</v>
      </c>
      <c r="H99" s="3">
        <v>33</v>
      </c>
    </row>
    <row r="100" spans="1:8" ht="15.75" customHeight="1" x14ac:dyDescent="0.25">
      <c r="A100" s="3">
        <v>98</v>
      </c>
      <c r="B100" s="3">
        <v>99</v>
      </c>
      <c r="C100" s="3">
        <v>0.18179999999999999</v>
      </c>
      <c r="D100" s="3">
        <v>0.43</v>
      </c>
      <c r="E100" s="3">
        <v>0.19400000000000001</v>
      </c>
      <c r="F100" s="3">
        <v>1</v>
      </c>
      <c r="G100" s="3">
        <v>87</v>
      </c>
      <c r="H100" s="3">
        <v>88</v>
      </c>
    </row>
    <row r="101" spans="1:8" ht="15.75" customHeight="1" x14ac:dyDescent="0.25">
      <c r="A101" s="3">
        <v>99</v>
      </c>
      <c r="B101" s="3">
        <v>100</v>
      </c>
      <c r="C101" s="3">
        <v>0.18179999999999999</v>
      </c>
      <c r="D101" s="3">
        <v>0.4</v>
      </c>
      <c r="E101" s="3">
        <v>0.29849999999999999</v>
      </c>
      <c r="F101" s="3">
        <v>3</v>
      </c>
      <c r="G101" s="3">
        <v>192</v>
      </c>
      <c r="H101" s="3">
        <v>195</v>
      </c>
    </row>
    <row r="102" spans="1:8" ht="15.75" customHeight="1" x14ac:dyDescent="0.25">
      <c r="A102" s="3">
        <v>100</v>
      </c>
      <c r="B102" s="3">
        <v>101</v>
      </c>
      <c r="C102" s="3">
        <v>0.19700000000000001</v>
      </c>
      <c r="D102" s="3">
        <v>0.37</v>
      </c>
      <c r="E102" s="3">
        <v>0.32840000000000003</v>
      </c>
      <c r="F102" s="3">
        <v>6</v>
      </c>
      <c r="G102" s="3">
        <v>109</v>
      </c>
      <c r="H102" s="3">
        <v>115</v>
      </c>
    </row>
    <row r="103" spans="1:8" ht="15.75" customHeight="1" x14ac:dyDescent="0.25">
      <c r="A103" s="3">
        <v>101</v>
      </c>
      <c r="B103" s="3">
        <v>102</v>
      </c>
      <c r="C103" s="3">
        <v>0.19700000000000001</v>
      </c>
      <c r="D103" s="3">
        <v>0.37</v>
      </c>
      <c r="E103" s="3">
        <v>0.32840000000000003</v>
      </c>
      <c r="F103" s="3">
        <v>4</v>
      </c>
      <c r="G103" s="3">
        <v>53</v>
      </c>
      <c r="H103" s="3">
        <v>57</v>
      </c>
    </row>
    <row r="104" spans="1:8" ht="15.75" customHeight="1" x14ac:dyDescent="0.25">
      <c r="A104" s="3">
        <v>102</v>
      </c>
      <c r="B104" s="3">
        <v>103</v>
      </c>
      <c r="C104" s="3">
        <v>0.2273</v>
      </c>
      <c r="D104" s="3">
        <v>0.33</v>
      </c>
      <c r="E104" s="3">
        <v>0.32840000000000003</v>
      </c>
      <c r="F104" s="3">
        <v>12</v>
      </c>
      <c r="G104" s="3">
        <v>34</v>
      </c>
      <c r="H104" s="3">
        <v>46</v>
      </c>
    </row>
    <row r="105" spans="1:8" ht="15.75" customHeight="1" x14ac:dyDescent="0.25">
      <c r="A105" s="3">
        <v>103</v>
      </c>
      <c r="B105" s="3">
        <v>104</v>
      </c>
      <c r="C105" s="3">
        <v>0.2273</v>
      </c>
      <c r="D105" s="3">
        <v>0.33</v>
      </c>
      <c r="E105" s="3">
        <v>0.32840000000000003</v>
      </c>
      <c r="F105" s="3">
        <v>5</v>
      </c>
      <c r="G105" s="3">
        <v>74</v>
      </c>
      <c r="H105" s="3">
        <v>79</v>
      </c>
    </row>
    <row r="106" spans="1:8" ht="15.75" customHeight="1" x14ac:dyDescent="0.25">
      <c r="A106" s="3">
        <v>104</v>
      </c>
      <c r="B106" s="3">
        <v>105</v>
      </c>
      <c r="C106" s="3">
        <v>0.2576</v>
      </c>
      <c r="D106" s="3">
        <v>0.3</v>
      </c>
      <c r="E106" s="3">
        <v>0.29849999999999999</v>
      </c>
      <c r="F106" s="3">
        <v>6</v>
      </c>
      <c r="G106" s="3">
        <v>65</v>
      </c>
      <c r="H106" s="3">
        <v>71</v>
      </c>
    </row>
    <row r="107" spans="1:8" ht="15.75" customHeight="1" x14ac:dyDescent="0.25">
      <c r="A107" s="3">
        <v>105</v>
      </c>
      <c r="B107" s="3">
        <v>106</v>
      </c>
      <c r="C107" s="3">
        <v>0.28789999999999999</v>
      </c>
      <c r="D107" s="3">
        <v>0.28000000000000003</v>
      </c>
      <c r="E107" s="3">
        <v>0.19400000000000001</v>
      </c>
      <c r="F107" s="3">
        <v>10</v>
      </c>
      <c r="G107" s="3">
        <v>52</v>
      </c>
      <c r="H107" s="3">
        <v>62</v>
      </c>
    </row>
    <row r="108" spans="1:8" ht="15.75" customHeight="1" x14ac:dyDescent="0.25">
      <c r="A108" s="3">
        <v>106</v>
      </c>
      <c r="B108" s="3">
        <v>107</v>
      </c>
      <c r="C108" s="3">
        <v>0.28789999999999999</v>
      </c>
      <c r="D108" s="3">
        <v>0.28000000000000003</v>
      </c>
      <c r="E108" s="3">
        <v>0.19400000000000001</v>
      </c>
      <c r="F108" s="3">
        <v>7</v>
      </c>
      <c r="G108" s="3">
        <v>55</v>
      </c>
      <c r="H108" s="3">
        <v>62</v>
      </c>
    </row>
    <row r="109" spans="1:8" ht="15.75" customHeight="1" x14ac:dyDescent="0.25">
      <c r="A109" s="3">
        <v>107</v>
      </c>
      <c r="B109" s="3">
        <v>108</v>
      </c>
      <c r="C109" s="3">
        <v>0.31819999999999998</v>
      </c>
      <c r="D109" s="3">
        <v>0.28000000000000003</v>
      </c>
      <c r="E109" s="3">
        <v>8.9599999999999999E-2</v>
      </c>
      <c r="F109" s="3">
        <v>4</v>
      </c>
      <c r="G109" s="3">
        <v>85</v>
      </c>
      <c r="H109" s="3">
        <v>89</v>
      </c>
    </row>
    <row r="110" spans="1:8" ht="15.75" customHeight="1" x14ac:dyDescent="0.25">
      <c r="A110" s="3">
        <v>108</v>
      </c>
      <c r="B110" s="3">
        <v>109</v>
      </c>
      <c r="C110" s="3">
        <v>0.2273</v>
      </c>
      <c r="D110" s="3">
        <v>0.38</v>
      </c>
      <c r="E110" s="3">
        <v>0.19400000000000001</v>
      </c>
      <c r="F110" s="3">
        <v>4</v>
      </c>
      <c r="G110" s="3">
        <v>186</v>
      </c>
      <c r="H110" s="3">
        <v>190</v>
      </c>
    </row>
    <row r="111" spans="1:8" ht="15.75" customHeight="1" x14ac:dyDescent="0.25">
      <c r="A111" s="3">
        <v>109</v>
      </c>
      <c r="B111" s="3">
        <v>110</v>
      </c>
      <c r="C111" s="3">
        <v>0.2424</v>
      </c>
      <c r="D111" s="3">
        <v>0.38</v>
      </c>
      <c r="E111" s="3">
        <v>0.1343</v>
      </c>
      <c r="F111" s="3">
        <v>3</v>
      </c>
      <c r="G111" s="3">
        <v>166</v>
      </c>
      <c r="H111" s="3">
        <v>169</v>
      </c>
    </row>
    <row r="112" spans="1:8" ht="15.75" customHeight="1" x14ac:dyDescent="0.25">
      <c r="A112" s="3">
        <v>110</v>
      </c>
      <c r="B112" s="3">
        <v>111</v>
      </c>
      <c r="C112" s="3">
        <v>0.2576</v>
      </c>
      <c r="D112" s="3">
        <v>0.38</v>
      </c>
      <c r="E112" s="3">
        <v>0.1045</v>
      </c>
      <c r="F112" s="3">
        <v>5</v>
      </c>
      <c r="G112" s="3">
        <v>127</v>
      </c>
      <c r="H112" s="3">
        <v>132</v>
      </c>
    </row>
    <row r="113" spans="1:8" ht="15.75" customHeight="1" x14ac:dyDescent="0.25">
      <c r="A113" s="3">
        <v>111</v>
      </c>
      <c r="B113" s="3">
        <v>112</v>
      </c>
      <c r="C113" s="3">
        <v>0.2273</v>
      </c>
      <c r="D113" s="3">
        <v>0.47</v>
      </c>
      <c r="E113" s="3">
        <v>0.16420000000000001</v>
      </c>
      <c r="F113" s="3">
        <v>7</v>
      </c>
      <c r="G113" s="3">
        <v>82</v>
      </c>
      <c r="H113" s="3">
        <v>89</v>
      </c>
    </row>
    <row r="114" spans="1:8" ht="15.75" customHeight="1" x14ac:dyDescent="0.25">
      <c r="A114" s="3">
        <v>112</v>
      </c>
      <c r="B114" s="3">
        <v>113</v>
      </c>
      <c r="C114" s="3">
        <v>0.19700000000000001</v>
      </c>
      <c r="D114" s="3">
        <v>0.51</v>
      </c>
      <c r="E114" s="3">
        <v>0.19400000000000001</v>
      </c>
      <c r="F114" s="3">
        <v>3</v>
      </c>
      <c r="G114" s="3">
        <v>40</v>
      </c>
      <c r="H114" s="3">
        <v>43</v>
      </c>
    </row>
    <row r="115" spans="1:8" ht="15.75" customHeight="1" x14ac:dyDescent="0.25">
      <c r="A115" s="3">
        <v>113</v>
      </c>
      <c r="B115" s="3">
        <v>114</v>
      </c>
      <c r="C115" s="3">
        <v>0.19700000000000001</v>
      </c>
      <c r="D115" s="3">
        <v>0.55000000000000004</v>
      </c>
      <c r="E115" s="3">
        <v>0.1343</v>
      </c>
      <c r="F115" s="3">
        <v>1</v>
      </c>
      <c r="G115" s="3">
        <v>41</v>
      </c>
      <c r="H115" s="3">
        <v>42</v>
      </c>
    </row>
    <row r="116" spans="1:8" ht="15.75" customHeight="1" x14ac:dyDescent="0.25">
      <c r="A116" s="3">
        <v>114</v>
      </c>
      <c r="B116" s="3">
        <v>115</v>
      </c>
      <c r="C116" s="3">
        <v>0.2576</v>
      </c>
      <c r="D116" s="3">
        <v>0.47</v>
      </c>
      <c r="E116" s="3">
        <v>0</v>
      </c>
      <c r="F116" s="3">
        <v>1</v>
      </c>
      <c r="G116" s="3">
        <v>18</v>
      </c>
      <c r="H116" s="3">
        <v>19</v>
      </c>
    </row>
    <row r="117" spans="1:8" ht="15.75" customHeight="1" x14ac:dyDescent="0.25">
      <c r="A117" s="3">
        <v>115</v>
      </c>
      <c r="B117" s="3">
        <v>116</v>
      </c>
      <c r="C117" s="3">
        <v>0.2424</v>
      </c>
      <c r="D117" s="3">
        <v>0.55000000000000004</v>
      </c>
      <c r="E117" s="3">
        <v>0</v>
      </c>
      <c r="F117" s="3">
        <v>0</v>
      </c>
      <c r="G117" s="3">
        <v>11</v>
      </c>
      <c r="H117" s="3">
        <v>11</v>
      </c>
    </row>
    <row r="118" spans="1:8" ht="15.75" customHeight="1" x14ac:dyDescent="0.25">
      <c r="A118" s="3">
        <v>116</v>
      </c>
      <c r="B118" s="3">
        <v>117</v>
      </c>
      <c r="C118" s="3">
        <v>0.2273</v>
      </c>
      <c r="D118" s="3">
        <v>0.64</v>
      </c>
      <c r="E118" s="3">
        <v>0</v>
      </c>
      <c r="F118" s="3">
        <v>0</v>
      </c>
      <c r="G118" s="3">
        <v>4</v>
      </c>
      <c r="H118" s="3">
        <v>4</v>
      </c>
    </row>
    <row r="119" spans="1:8" ht="15.75" customHeight="1" x14ac:dyDescent="0.25">
      <c r="A119" s="3">
        <v>117</v>
      </c>
      <c r="B119" s="3">
        <v>118</v>
      </c>
      <c r="C119" s="3">
        <v>0.2273</v>
      </c>
      <c r="D119" s="3">
        <v>0.64</v>
      </c>
      <c r="E119" s="3">
        <v>0</v>
      </c>
      <c r="F119" s="3">
        <v>0</v>
      </c>
      <c r="G119" s="3">
        <v>2</v>
      </c>
      <c r="H119" s="3">
        <v>2</v>
      </c>
    </row>
    <row r="120" spans="1:8" ht="15.75" customHeight="1" x14ac:dyDescent="0.25">
      <c r="A120" s="3">
        <v>118</v>
      </c>
      <c r="B120" s="3">
        <v>119</v>
      </c>
      <c r="C120" s="3">
        <v>0.19700000000000001</v>
      </c>
      <c r="D120" s="3">
        <v>0.64</v>
      </c>
      <c r="E120" s="3">
        <v>8.9599999999999999E-2</v>
      </c>
      <c r="F120" s="3">
        <v>0</v>
      </c>
      <c r="G120" s="3">
        <v>1</v>
      </c>
      <c r="H120" s="3">
        <v>1</v>
      </c>
    </row>
    <row r="121" spans="1:8" ht="15.75" customHeight="1" x14ac:dyDescent="0.25">
      <c r="A121" s="3">
        <v>119</v>
      </c>
      <c r="B121" s="3">
        <v>120</v>
      </c>
      <c r="C121" s="3">
        <v>0.18179999999999999</v>
      </c>
      <c r="D121" s="3">
        <v>0.69</v>
      </c>
      <c r="E121" s="3">
        <v>8.9599999999999999E-2</v>
      </c>
      <c r="F121" s="3">
        <v>0</v>
      </c>
      <c r="G121" s="3">
        <v>4</v>
      </c>
      <c r="H121" s="3">
        <v>4</v>
      </c>
    </row>
    <row r="122" spans="1:8" ht="15.75" customHeight="1" x14ac:dyDescent="0.25">
      <c r="A122" s="3">
        <v>120</v>
      </c>
      <c r="B122" s="3">
        <v>121</v>
      </c>
      <c r="C122" s="3">
        <v>0.16669999999999999</v>
      </c>
      <c r="D122" s="3">
        <v>0.63</v>
      </c>
      <c r="E122" s="3">
        <v>0.1045</v>
      </c>
      <c r="F122" s="3">
        <v>0</v>
      </c>
      <c r="G122" s="3">
        <v>36</v>
      </c>
      <c r="H122" s="3">
        <v>36</v>
      </c>
    </row>
    <row r="123" spans="1:8" ht="15.75" customHeight="1" x14ac:dyDescent="0.25">
      <c r="A123" s="3">
        <v>121</v>
      </c>
      <c r="B123" s="3">
        <v>122</v>
      </c>
      <c r="C123" s="3">
        <v>0.2273</v>
      </c>
      <c r="D123" s="3">
        <v>0.59</v>
      </c>
      <c r="E123" s="3">
        <v>0</v>
      </c>
      <c r="F123" s="3">
        <v>0</v>
      </c>
      <c r="G123" s="3">
        <v>95</v>
      </c>
      <c r="H123" s="3">
        <v>95</v>
      </c>
    </row>
    <row r="124" spans="1:8" ht="15.75" customHeight="1" x14ac:dyDescent="0.25">
      <c r="A124" s="3">
        <v>122</v>
      </c>
      <c r="B124" s="3">
        <v>123</v>
      </c>
      <c r="C124" s="3">
        <v>0.2273</v>
      </c>
      <c r="D124" s="3">
        <v>0.59</v>
      </c>
      <c r="E124" s="3">
        <v>0</v>
      </c>
      <c r="F124" s="3">
        <v>3</v>
      </c>
      <c r="G124" s="3">
        <v>216</v>
      </c>
      <c r="H124" s="3">
        <v>219</v>
      </c>
    </row>
    <row r="125" spans="1:8" ht="15.75" customHeight="1" x14ac:dyDescent="0.25">
      <c r="A125" s="3">
        <v>123</v>
      </c>
      <c r="B125" s="3">
        <v>124</v>
      </c>
      <c r="C125" s="3">
        <v>0.2424</v>
      </c>
      <c r="D125" s="3">
        <v>0.51</v>
      </c>
      <c r="E125" s="3">
        <v>0</v>
      </c>
      <c r="F125" s="3">
        <v>6</v>
      </c>
      <c r="G125" s="3">
        <v>116</v>
      </c>
      <c r="H125" s="3">
        <v>122</v>
      </c>
    </row>
    <row r="126" spans="1:8" ht="15.75" customHeight="1" x14ac:dyDescent="0.25">
      <c r="A126" s="3">
        <v>124</v>
      </c>
      <c r="B126" s="3">
        <v>125</v>
      </c>
      <c r="C126" s="3">
        <v>0.2576</v>
      </c>
      <c r="D126" s="3">
        <v>0.47</v>
      </c>
      <c r="E126" s="3">
        <v>0</v>
      </c>
      <c r="F126" s="3">
        <v>3</v>
      </c>
      <c r="G126" s="3">
        <v>42</v>
      </c>
      <c r="H126" s="3">
        <v>45</v>
      </c>
    </row>
    <row r="127" spans="1:8" ht="15.75" customHeight="1" x14ac:dyDescent="0.25">
      <c r="A127" s="3">
        <v>125</v>
      </c>
      <c r="B127" s="3">
        <v>126</v>
      </c>
      <c r="C127" s="3">
        <v>0.2576</v>
      </c>
      <c r="D127" s="3">
        <v>0.44</v>
      </c>
      <c r="E127" s="3">
        <v>8.9599999999999999E-2</v>
      </c>
      <c r="F127" s="3">
        <v>2</v>
      </c>
      <c r="G127" s="3">
        <v>57</v>
      </c>
      <c r="H127" s="3">
        <v>59</v>
      </c>
    </row>
    <row r="128" spans="1:8" ht="15.75" customHeight="1" x14ac:dyDescent="0.25">
      <c r="A128" s="3">
        <v>126</v>
      </c>
      <c r="B128" s="3">
        <v>127</v>
      </c>
      <c r="C128" s="3">
        <v>0.28789999999999999</v>
      </c>
      <c r="D128" s="3">
        <v>0.35</v>
      </c>
      <c r="E128" s="3">
        <v>0</v>
      </c>
      <c r="F128" s="3">
        <v>6</v>
      </c>
      <c r="G128" s="3">
        <v>78</v>
      </c>
      <c r="H128" s="3">
        <v>84</v>
      </c>
    </row>
    <row r="129" spans="1:8" ht="15.75" customHeight="1" x14ac:dyDescent="0.25">
      <c r="A129" s="3">
        <v>127</v>
      </c>
      <c r="B129" s="3">
        <v>128</v>
      </c>
      <c r="C129" s="3">
        <v>0.2727</v>
      </c>
      <c r="D129" s="3">
        <v>0.35</v>
      </c>
      <c r="E129" s="3">
        <v>0.1045</v>
      </c>
      <c r="F129" s="3">
        <v>12</v>
      </c>
      <c r="G129" s="3">
        <v>55</v>
      </c>
      <c r="H129" s="3">
        <v>67</v>
      </c>
    </row>
    <row r="130" spans="1:8" ht="15.75" customHeight="1" x14ac:dyDescent="0.25">
      <c r="A130" s="3">
        <v>128</v>
      </c>
      <c r="B130" s="3">
        <v>129</v>
      </c>
      <c r="C130" s="3">
        <v>0.2727</v>
      </c>
      <c r="D130" s="3">
        <v>0.36</v>
      </c>
      <c r="E130" s="3">
        <v>0.16420000000000001</v>
      </c>
      <c r="F130" s="3">
        <v>11</v>
      </c>
      <c r="G130" s="3">
        <v>59</v>
      </c>
      <c r="H130" s="3">
        <v>70</v>
      </c>
    </row>
    <row r="131" spans="1:8" ht="15.75" customHeight="1" x14ac:dyDescent="0.25">
      <c r="A131" s="3">
        <v>129</v>
      </c>
      <c r="B131" s="3">
        <v>130</v>
      </c>
      <c r="C131" s="3">
        <v>0.2727</v>
      </c>
      <c r="D131" s="3">
        <v>0.36</v>
      </c>
      <c r="E131" s="3">
        <v>0</v>
      </c>
      <c r="F131" s="3">
        <v>8</v>
      </c>
      <c r="G131" s="3">
        <v>54</v>
      </c>
      <c r="H131" s="3">
        <v>62</v>
      </c>
    </row>
    <row r="132" spans="1:8" ht="15.75" customHeight="1" x14ac:dyDescent="0.25">
      <c r="A132" s="3">
        <v>130</v>
      </c>
      <c r="B132" s="3">
        <v>131</v>
      </c>
      <c r="C132" s="3">
        <v>0.2576</v>
      </c>
      <c r="D132" s="3">
        <v>0.38</v>
      </c>
      <c r="E132" s="3">
        <v>0.16420000000000001</v>
      </c>
      <c r="F132" s="3">
        <v>12</v>
      </c>
      <c r="G132" s="3">
        <v>74</v>
      </c>
      <c r="H132" s="3">
        <v>86</v>
      </c>
    </row>
    <row r="133" spans="1:8" ht="15.75" customHeight="1" x14ac:dyDescent="0.25">
      <c r="A133" s="3">
        <v>131</v>
      </c>
      <c r="B133" s="3">
        <v>132</v>
      </c>
      <c r="C133" s="3">
        <v>0.2273</v>
      </c>
      <c r="D133" s="3">
        <v>0.51</v>
      </c>
      <c r="E133" s="3">
        <v>0.16420000000000001</v>
      </c>
      <c r="F133" s="3">
        <v>9</v>
      </c>
      <c r="G133" s="3">
        <v>163</v>
      </c>
      <c r="H133" s="3">
        <v>172</v>
      </c>
    </row>
    <row r="134" spans="1:8" ht="15.75" customHeight="1" x14ac:dyDescent="0.25">
      <c r="A134" s="3">
        <v>132</v>
      </c>
      <c r="B134" s="3">
        <v>133</v>
      </c>
      <c r="C134" s="3">
        <v>0.2273</v>
      </c>
      <c r="D134" s="3">
        <v>0.51</v>
      </c>
      <c r="E134" s="3">
        <v>0.1343</v>
      </c>
      <c r="F134" s="3">
        <v>5</v>
      </c>
      <c r="G134" s="3">
        <v>158</v>
      </c>
      <c r="H134" s="3">
        <v>163</v>
      </c>
    </row>
    <row r="135" spans="1:8" ht="15.75" customHeight="1" x14ac:dyDescent="0.25">
      <c r="A135" s="3">
        <v>133</v>
      </c>
      <c r="B135" s="3">
        <v>134</v>
      </c>
      <c r="C135" s="3">
        <v>0.2576</v>
      </c>
      <c r="D135" s="3">
        <v>0.55000000000000004</v>
      </c>
      <c r="E135" s="3">
        <v>8.9599999999999999E-2</v>
      </c>
      <c r="F135" s="3">
        <v>3</v>
      </c>
      <c r="G135" s="3">
        <v>109</v>
      </c>
      <c r="H135" s="3">
        <v>112</v>
      </c>
    </row>
    <row r="136" spans="1:8" ht="15.75" customHeight="1" x14ac:dyDescent="0.25">
      <c r="A136" s="3">
        <v>134</v>
      </c>
      <c r="B136" s="3">
        <v>135</v>
      </c>
      <c r="C136" s="3">
        <v>0.21210000000000001</v>
      </c>
      <c r="D136" s="3">
        <v>0.51</v>
      </c>
      <c r="E136" s="3">
        <v>0.16420000000000001</v>
      </c>
      <c r="F136" s="3">
        <v>3</v>
      </c>
      <c r="G136" s="3">
        <v>66</v>
      </c>
      <c r="H136" s="3">
        <v>69</v>
      </c>
    </row>
    <row r="137" spans="1:8" ht="15.75" customHeight="1" x14ac:dyDescent="0.25">
      <c r="A137" s="3">
        <v>135</v>
      </c>
      <c r="B137" s="3">
        <v>136</v>
      </c>
      <c r="C137" s="3">
        <v>0.21210000000000001</v>
      </c>
      <c r="D137" s="3">
        <v>0.55000000000000004</v>
      </c>
      <c r="E137" s="3">
        <v>0.22389999999999999</v>
      </c>
      <c r="F137" s="3">
        <v>0</v>
      </c>
      <c r="G137" s="3">
        <v>48</v>
      </c>
      <c r="H137" s="3">
        <v>48</v>
      </c>
    </row>
    <row r="138" spans="1:8" ht="15.75" customHeight="1" x14ac:dyDescent="0.25">
      <c r="A138" s="3">
        <v>136</v>
      </c>
      <c r="B138" s="3">
        <v>137</v>
      </c>
      <c r="C138" s="3">
        <v>0.21210000000000001</v>
      </c>
      <c r="D138" s="3">
        <v>0.51</v>
      </c>
      <c r="E138" s="3">
        <v>0.28360000000000002</v>
      </c>
      <c r="F138" s="3">
        <v>1</v>
      </c>
      <c r="G138" s="3">
        <v>51</v>
      </c>
      <c r="H138" s="3">
        <v>52</v>
      </c>
    </row>
    <row r="139" spans="1:8" ht="15.75" customHeight="1" x14ac:dyDescent="0.25">
      <c r="A139" s="3">
        <v>137</v>
      </c>
      <c r="B139" s="3">
        <v>138</v>
      </c>
      <c r="C139" s="3">
        <v>0.19700000000000001</v>
      </c>
      <c r="D139" s="3">
        <v>0.59</v>
      </c>
      <c r="E139" s="3">
        <v>0.19400000000000001</v>
      </c>
      <c r="F139" s="3">
        <v>4</v>
      </c>
      <c r="G139" s="3">
        <v>19</v>
      </c>
      <c r="H139" s="3">
        <v>23</v>
      </c>
    </row>
    <row r="140" spans="1:8" ht="15.75" customHeight="1" x14ac:dyDescent="0.25">
      <c r="A140" s="3">
        <v>138</v>
      </c>
      <c r="B140" s="3">
        <v>139</v>
      </c>
      <c r="C140" s="3">
        <v>0.19700000000000001</v>
      </c>
      <c r="D140" s="3">
        <v>0.64</v>
      </c>
      <c r="E140" s="3">
        <v>0.19400000000000001</v>
      </c>
      <c r="F140" s="3">
        <v>4</v>
      </c>
      <c r="G140" s="3">
        <v>13</v>
      </c>
      <c r="H140" s="3">
        <v>17</v>
      </c>
    </row>
    <row r="141" spans="1:8" ht="15.75" customHeight="1" x14ac:dyDescent="0.25">
      <c r="A141" s="3">
        <v>139</v>
      </c>
      <c r="B141" s="3">
        <v>140</v>
      </c>
      <c r="C141" s="3">
        <v>0.19700000000000001</v>
      </c>
      <c r="D141" s="3">
        <v>0.69</v>
      </c>
      <c r="E141" s="3">
        <v>0.22389999999999999</v>
      </c>
      <c r="F141" s="3">
        <v>2</v>
      </c>
      <c r="G141" s="3">
        <v>5</v>
      </c>
      <c r="H141" s="3">
        <v>7</v>
      </c>
    </row>
    <row r="142" spans="1:8" ht="15.75" customHeight="1" x14ac:dyDescent="0.25">
      <c r="A142" s="3">
        <v>140</v>
      </c>
      <c r="B142" s="3">
        <v>141</v>
      </c>
      <c r="C142" s="3">
        <v>0.19700000000000001</v>
      </c>
      <c r="D142" s="3">
        <v>0.69</v>
      </c>
      <c r="E142" s="3">
        <v>0.22389999999999999</v>
      </c>
      <c r="F142" s="3">
        <v>0</v>
      </c>
      <c r="G142" s="3">
        <v>1</v>
      </c>
      <c r="H142" s="3">
        <v>1</v>
      </c>
    </row>
    <row r="143" spans="1:8" ht="15.75" customHeight="1" x14ac:dyDescent="0.25">
      <c r="A143" s="3">
        <v>141</v>
      </c>
      <c r="B143" s="3">
        <v>142</v>
      </c>
      <c r="C143" s="3">
        <v>0.21210000000000001</v>
      </c>
      <c r="D143" s="3">
        <v>0.69</v>
      </c>
      <c r="E143" s="3">
        <v>0.1343</v>
      </c>
      <c r="F143" s="3">
        <v>0</v>
      </c>
      <c r="G143" s="3">
        <v>1</v>
      </c>
      <c r="H143" s="3">
        <v>1</v>
      </c>
    </row>
    <row r="144" spans="1:8" ht="15.75" customHeight="1" x14ac:dyDescent="0.25">
      <c r="A144" s="3">
        <v>142</v>
      </c>
      <c r="B144" s="3">
        <v>143</v>
      </c>
      <c r="C144" s="3">
        <v>0.2727</v>
      </c>
      <c r="D144" s="3">
        <v>0.55000000000000004</v>
      </c>
      <c r="E144" s="3">
        <v>0</v>
      </c>
      <c r="F144" s="3">
        <v>0</v>
      </c>
      <c r="G144" s="3">
        <v>5</v>
      </c>
      <c r="H144" s="3">
        <v>5</v>
      </c>
    </row>
    <row r="145" spans="1:8" ht="15.75" customHeight="1" x14ac:dyDescent="0.25">
      <c r="A145" s="3">
        <v>143</v>
      </c>
      <c r="B145" s="3">
        <v>144</v>
      </c>
      <c r="C145" s="3">
        <v>0.2576</v>
      </c>
      <c r="D145" s="3">
        <v>0.69</v>
      </c>
      <c r="E145" s="3">
        <v>0</v>
      </c>
      <c r="F145" s="3">
        <v>8</v>
      </c>
      <c r="G145" s="3">
        <v>26</v>
      </c>
      <c r="H145" s="3">
        <v>34</v>
      </c>
    </row>
    <row r="146" spans="1:8" ht="15.75" customHeight="1" x14ac:dyDescent="0.25">
      <c r="A146" s="3">
        <v>144</v>
      </c>
      <c r="B146" s="3">
        <v>145</v>
      </c>
      <c r="C146" s="3">
        <v>0.21210000000000001</v>
      </c>
      <c r="D146" s="3">
        <v>0.69</v>
      </c>
      <c r="E146" s="3">
        <v>0.1343</v>
      </c>
      <c r="F146" s="3">
        <v>8</v>
      </c>
      <c r="G146" s="3">
        <v>76</v>
      </c>
      <c r="H146" s="3">
        <v>84</v>
      </c>
    </row>
    <row r="147" spans="1:8" ht="15.75" customHeight="1" x14ac:dyDescent="0.25">
      <c r="A147" s="3">
        <v>145</v>
      </c>
      <c r="B147" s="3">
        <v>146</v>
      </c>
      <c r="C147" s="3">
        <v>0.19700000000000001</v>
      </c>
      <c r="D147" s="3">
        <v>0.51</v>
      </c>
      <c r="E147" s="3">
        <v>0.25369999999999998</v>
      </c>
      <c r="F147" s="3">
        <v>20</v>
      </c>
      <c r="G147" s="3">
        <v>190</v>
      </c>
      <c r="H147" s="3">
        <v>210</v>
      </c>
    </row>
    <row r="148" spans="1:8" ht="15.75" customHeight="1" x14ac:dyDescent="0.25">
      <c r="A148" s="3">
        <v>146</v>
      </c>
      <c r="B148" s="3">
        <v>147</v>
      </c>
      <c r="C148" s="3">
        <v>0.18179999999999999</v>
      </c>
      <c r="D148" s="3">
        <v>0.47</v>
      </c>
      <c r="E148" s="3">
        <v>0.29849999999999999</v>
      </c>
      <c r="F148" s="3">
        <v>9</v>
      </c>
      <c r="G148" s="3">
        <v>125</v>
      </c>
      <c r="H148" s="3">
        <v>134</v>
      </c>
    </row>
    <row r="149" spans="1:8" ht="15.75" customHeight="1" x14ac:dyDescent="0.25">
      <c r="A149" s="3">
        <v>147</v>
      </c>
      <c r="B149" s="3">
        <v>148</v>
      </c>
      <c r="C149" s="3">
        <v>0.19700000000000001</v>
      </c>
      <c r="D149" s="3">
        <v>0.37</v>
      </c>
      <c r="E149" s="3">
        <v>0.32840000000000003</v>
      </c>
      <c r="F149" s="3">
        <v>16</v>
      </c>
      <c r="G149" s="3">
        <v>47</v>
      </c>
      <c r="H149" s="3">
        <v>63</v>
      </c>
    </row>
    <row r="150" spans="1:8" ht="15.75" customHeight="1" x14ac:dyDescent="0.25">
      <c r="A150" s="3">
        <v>148</v>
      </c>
      <c r="B150" s="3">
        <v>149</v>
      </c>
      <c r="C150" s="3">
        <v>0.19700000000000001</v>
      </c>
      <c r="D150" s="3">
        <v>0.4</v>
      </c>
      <c r="E150" s="3">
        <v>0.22389999999999999</v>
      </c>
      <c r="F150" s="3">
        <v>19</v>
      </c>
      <c r="G150" s="3">
        <v>48</v>
      </c>
      <c r="H150" s="3">
        <v>67</v>
      </c>
    </row>
    <row r="151" spans="1:8" ht="15.75" customHeight="1" x14ac:dyDescent="0.25">
      <c r="A151" s="3">
        <v>149</v>
      </c>
      <c r="B151" s="3">
        <v>150</v>
      </c>
      <c r="C151" s="3">
        <v>0.19700000000000001</v>
      </c>
      <c r="D151" s="3">
        <v>0.37</v>
      </c>
      <c r="E151" s="3">
        <v>0.25369999999999998</v>
      </c>
      <c r="F151" s="3">
        <v>9</v>
      </c>
      <c r="G151" s="3">
        <v>50</v>
      </c>
      <c r="H151" s="3">
        <v>59</v>
      </c>
    </row>
    <row r="152" spans="1:8" ht="15.75" customHeight="1" x14ac:dyDescent="0.25">
      <c r="A152" s="3">
        <v>150</v>
      </c>
      <c r="B152" s="3">
        <v>151</v>
      </c>
      <c r="C152" s="3">
        <v>0.18179999999999999</v>
      </c>
      <c r="D152" s="3">
        <v>0.37</v>
      </c>
      <c r="E152" s="3">
        <v>0.28360000000000002</v>
      </c>
      <c r="F152" s="3">
        <v>9</v>
      </c>
      <c r="G152" s="3">
        <v>64</v>
      </c>
      <c r="H152" s="3">
        <v>73</v>
      </c>
    </row>
    <row r="153" spans="1:8" ht="15.75" customHeight="1" x14ac:dyDescent="0.25">
      <c r="A153" s="3">
        <v>151</v>
      </c>
      <c r="B153" s="3">
        <v>152</v>
      </c>
      <c r="C153" s="3">
        <v>0.19700000000000001</v>
      </c>
      <c r="D153" s="3">
        <v>0.4</v>
      </c>
      <c r="E153" s="3">
        <v>0.25369999999999998</v>
      </c>
      <c r="F153" s="3">
        <v>7</v>
      </c>
      <c r="G153" s="3">
        <v>43</v>
      </c>
      <c r="H153" s="3">
        <v>50</v>
      </c>
    </row>
    <row r="154" spans="1:8" ht="15.75" customHeight="1" x14ac:dyDescent="0.25">
      <c r="A154" s="3">
        <v>152</v>
      </c>
      <c r="B154" s="3">
        <v>153</v>
      </c>
      <c r="C154" s="3">
        <v>0.21210000000000001</v>
      </c>
      <c r="D154" s="3">
        <v>0.37</v>
      </c>
      <c r="E154" s="3">
        <v>0.16420000000000001</v>
      </c>
      <c r="F154" s="3">
        <v>9</v>
      </c>
      <c r="G154" s="3">
        <v>63</v>
      </c>
      <c r="H154" s="3">
        <v>72</v>
      </c>
    </row>
    <row r="155" spans="1:8" ht="15.75" customHeight="1" x14ac:dyDescent="0.25">
      <c r="A155" s="3">
        <v>153</v>
      </c>
      <c r="B155" s="3">
        <v>154</v>
      </c>
      <c r="C155" s="3">
        <v>0.21210000000000001</v>
      </c>
      <c r="D155" s="3">
        <v>0.37</v>
      </c>
      <c r="E155" s="3">
        <v>0.16420000000000001</v>
      </c>
      <c r="F155" s="3">
        <v>5</v>
      </c>
      <c r="G155" s="3">
        <v>82</v>
      </c>
      <c r="H155" s="3">
        <v>87</v>
      </c>
    </row>
    <row r="156" spans="1:8" ht="15.75" customHeight="1" x14ac:dyDescent="0.25">
      <c r="A156" s="3">
        <v>154</v>
      </c>
      <c r="B156" s="3">
        <v>155</v>
      </c>
      <c r="C156" s="3">
        <v>0.2576</v>
      </c>
      <c r="D156" s="3">
        <v>0.37</v>
      </c>
      <c r="E156" s="3">
        <v>0</v>
      </c>
      <c r="F156" s="3">
        <v>9</v>
      </c>
      <c r="G156" s="3">
        <v>178</v>
      </c>
      <c r="H156" s="3">
        <v>187</v>
      </c>
    </row>
    <row r="157" spans="1:8" ht="15.75" customHeight="1" x14ac:dyDescent="0.25">
      <c r="A157" s="3">
        <v>155</v>
      </c>
      <c r="B157" s="3">
        <v>156</v>
      </c>
      <c r="C157" s="3">
        <v>0.2273</v>
      </c>
      <c r="D157" s="3">
        <v>0.4</v>
      </c>
      <c r="E157" s="3">
        <v>8.9599999999999999E-2</v>
      </c>
      <c r="F157" s="3">
        <v>7</v>
      </c>
      <c r="G157" s="3">
        <v>116</v>
      </c>
      <c r="H157" s="3">
        <v>123</v>
      </c>
    </row>
    <row r="158" spans="1:8" ht="15.75" customHeight="1" x14ac:dyDescent="0.25">
      <c r="A158" s="3">
        <v>156</v>
      </c>
      <c r="B158" s="3">
        <v>157</v>
      </c>
      <c r="C158" s="3">
        <v>0.19700000000000001</v>
      </c>
      <c r="D158" s="3">
        <v>0.55000000000000004</v>
      </c>
      <c r="E158" s="3">
        <v>8.9599999999999999E-2</v>
      </c>
      <c r="F158" s="3">
        <v>3</v>
      </c>
      <c r="G158" s="3">
        <v>92</v>
      </c>
      <c r="H158" s="3">
        <v>95</v>
      </c>
    </row>
    <row r="159" spans="1:8" ht="15.75" customHeight="1" x14ac:dyDescent="0.25">
      <c r="A159" s="3">
        <v>157</v>
      </c>
      <c r="B159" s="3">
        <v>158</v>
      </c>
      <c r="C159" s="3">
        <v>0.21210000000000001</v>
      </c>
      <c r="D159" s="3">
        <v>0.47</v>
      </c>
      <c r="E159" s="3">
        <v>0.1045</v>
      </c>
      <c r="F159" s="3">
        <v>1</v>
      </c>
      <c r="G159" s="3">
        <v>50</v>
      </c>
      <c r="H159" s="3">
        <v>51</v>
      </c>
    </row>
    <row r="160" spans="1:8" ht="15.75" customHeight="1" x14ac:dyDescent="0.25">
      <c r="A160" s="3">
        <v>158</v>
      </c>
      <c r="B160" s="3">
        <v>159</v>
      </c>
      <c r="C160" s="3">
        <v>0.19700000000000001</v>
      </c>
      <c r="D160" s="3">
        <v>0.47</v>
      </c>
      <c r="E160" s="3">
        <v>0.1343</v>
      </c>
      <c r="F160" s="3">
        <v>0</v>
      </c>
      <c r="G160" s="3">
        <v>39</v>
      </c>
      <c r="H160" s="3">
        <v>39</v>
      </c>
    </row>
    <row r="161" spans="1:8" ht="15.75" customHeight="1" x14ac:dyDescent="0.25">
      <c r="A161" s="3">
        <v>159</v>
      </c>
      <c r="B161" s="3">
        <v>160</v>
      </c>
      <c r="C161" s="3">
        <v>0.19700000000000001</v>
      </c>
      <c r="D161" s="3">
        <v>0.43</v>
      </c>
      <c r="E161" s="3">
        <v>0.16420000000000001</v>
      </c>
      <c r="F161" s="3">
        <v>2</v>
      </c>
      <c r="G161" s="3">
        <v>34</v>
      </c>
      <c r="H161" s="3">
        <v>36</v>
      </c>
    </row>
    <row r="162" spans="1:8" ht="15.75" customHeight="1" x14ac:dyDescent="0.25">
      <c r="A162" s="3">
        <v>160</v>
      </c>
      <c r="B162" s="3">
        <v>161</v>
      </c>
      <c r="C162" s="3">
        <v>0.19700000000000001</v>
      </c>
      <c r="D162" s="3">
        <v>0.51</v>
      </c>
      <c r="E162" s="3">
        <v>0.16420000000000001</v>
      </c>
      <c r="F162" s="3">
        <v>1</v>
      </c>
      <c r="G162" s="3">
        <v>14</v>
      </c>
      <c r="H162" s="3">
        <v>15</v>
      </c>
    </row>
    <row r="163" spans="1:8" ht="15.75" customHeight="1" x14ac:dyDescent="0.25">
      <c r="A163" s="3">
        <v>161</v>
      </c>
      <c r="B163" s="3">
        <v>162</v>
      </c>
      <c r="C163" s="3">
        <v>0.19700000000000001</v>
      </c>
      <c r="D163" s="3">
        <v>0.51</v>
      </c>
      <c r="E163" s="3">
        <v>0.16420000000000001</v>
      </c>
      <c r="F163" s="3">
        <v>1</v>
      </c>
      <c r="G163" s="3">
        <v>24</v>
      </c>
      <c r="H163" s="3">
        <v>25</v>
      </c>
    </row>
    <row r="164" spans="1:8" ht="15.75" customHeight="1" x14ac:dyDescent="0.25">
      <c r="A164" s="3">
        <v>162</v>
      </c>
      <c r="B164" s="3">
        <v>163</v>
      </c>
      <c r="C164" s="3">
        <v>0.21210000000000001</v>
      </c>
      <c r="D164" s="3">
        <v>0.55000000000000004</v>
      </c>
      <c r="E164" s="3">
        <v>8.9599999999999999E-2</v>
      </c>
      <c r="F164" s="3">
        <v>1</v>
      </c>
      <c r="G164" s="3">
        <v>15</v>
      </c>
      <c r="H164" s="3">
        <v>16</v>
      </c>
    </row>
    <row r="165" spans="1:8" ht="15.75" customHeight="1" x14ac:dyDescent="0.25">
      <c r="A165" s="3">
        <v>163</v>
      </c>
      <c r="B165" s="3">
        <v>164</v>
      </c>
      <c r="C165" s="3">
        <v>0.2424</v>
      </c>
      <c r="D165" s="3">
        <v>0.55000000000000004</v>
      </c>
      <c r="E165" s="3">
        <v>0</v>
      </c>
      <c r="F165" s="3">
        <v>3</v>
      </c>
      <c r="G165" s="3">
        <v>13</v>
      </c>
      <c r="H165" s="3">
        <v>16</v>
      </c>
    </row>
    <row r="166" spans="1:8" ht="15.75" customHeight="1" x14ac:dyDescent="0.25">
      <c r="A166" s="3">
        <v>164</v>
      </c>
      <c r="B166" s="3">
        <v>165</v>
      </c>
      <c r="C166" s="3">
        <v>0.19700000000000001</v>
      </c>
      <c r="D166" s="3">
        <v>0.55000000000000004</v>
      </c>
      <c r="E166" s="3">
        <v>0.16420000000000001</v>
      </c>
      <c r="F166" s="3">
        <v>0</v>
      </c>
      <c r="G166" s="3">
        <v>7</v>
      </c>
      <c r="H166" s="3">
        <v>7</v>
      </c>
    </row>
    <row r="167" spans="1:8" ht="15.75" customHeight="1" x14ac:dyDescent="0.25">
      <c r="A167" s="3">
        <v>165</v>
      </c>
      <c r="B167" s="3">
        <v>166</v>
      </c>
      <c r="C167" s="3">
        <v>0.19700000000000001</v>
      </c>
      <c r="D167" s="3">
        <v>0.55000000000000004</v>
      </c>
      <c r="E167" s="3">
        <v>0.16420000000000001</v>
      </c>
      <c r="F167" s="3">
        <v>0</v>
      </c>
      <c r="G167" s="3">
        <v>1</v>
      </c>
      <c r="H167" s="3">
        <v>1</v>
      </c>
    </row>
    <row r="168" spans="1:8" ht="15.75" customHeight="1" x14ac:dyDescent="0.25">
      <c r="A168" s="3">
        <v>166</v>
      </c>
      <c r="B168" s="3">
        <v>167</v>
      </c>
      <c r="C168" s="3">
        <v>0.16669999999999999</v>
      </c>
      <c r="D168" s="3">
        <v>0.74</v>
      </c>
      <c r="E168" s="3">
        <v>0.16420000000000001</v>
      </c>
      <c r="F168" s="3">
        <v>0</v>
      </c>
      <c r="G168" s="3">
        <v>5</v>
      </c>
      <c r="H168" s="3">
        <v>5</v>
      </c>
    </row>
    <row r="169" spans="1:8" ht="15.75" customHeight="1" x14ac:dyDescent="0.25">
      <c r="A169" s="3">
        <v>167</v>
      </c>
      <c r="B169" s="3">
        <v>168</v>
      </c>
      <c r="C169" s="3">
        <v>0.16669999999999999</v>
      </c>
      <c r="D169" s="3">
        <v>0.74</v>
      </c>
      <c r="E169" s="3">
        <v>0.16420000000000001</v>
      </c>
      <c r="F169" s="3">
        <v>0</v>
      </c>
      <c r="G169" s="3">
        <v>2</v>
      </c>
      <c r="H169" s="3">
        <v>2</v>
      </c>
    </row>
    <row r="170" spans="1:8" ht="15.75" customHeight="1" x14ac:dyDescent="0.25">
      <c r="A170" s="3">
        <v>168</v>
      </c>
      <c r="B170" s="3">
        <v>169</v>
      </c>
      <c r="C170" s="3">
        <v>0.18179999999999999</v>
      </c>
      <c r="D170" s="3">
        <v>0.74</v>
      </c>
      <c r="E170" s="3">
        <v>0.1045</v>
      </c>
      <c r="F170" s="3">
        <v>1</v>
      </c>
      <c r="G170" s="3">
        <v>8</v>
      </c>
      <c r="H170" s="3">
        <v>9</v>
      </c>
    </row>
    <row r="171" spans="1:8" ht="15.75" customHeight="1" x14ac:dyDescent="0.25">
      <c r="A171" s="3">
        <v>169</v>
      </c>
      <c r="B171" s="3">
        <v>170</v>
      </c>
      <c r="C171" s="3">
        <v>0.18179999999999999</v>
      </c>
      <c r="D171" s="3">
        <v>0.93</v>
      </c>
      <c r="E171" s="3">
        <v>0.1045</v>
      </c>
      <c r="F171" s="3">
        <v>0</v>
      </c>
      <c r="G171" s="3">
        <v>15</v>
      </c>
      <c r="H171" s="3">
        <v>15</v>
      </c>
    </row>
    <row r="172" spans="1:8" ht="15.75" customHeight="1" x14ac:dyDescent="0.25">
      <c r="A172" s="3">
        <v>170</v>
      </c>
      <c r="B172" s="3">
        <v>171</v>
      </c>
      <c r="C172" s="3">
        <v>0.18179999999999999</v>
      </c>
      <c r="D172" s="3">
        <v>0.93</v>
      </c>
      <c r="E172" s="3">
        <v>0.1045</v>
      </c>
      <c r="F172" s="3">
        <v>0</v>
      </c>
      <c r="G172" s="3">
        <v>20</v>
      </c>
      <c r="H172" s="3">
        <v>20</v>
      </c>
    </row>
    <row r="173" spans="1:8" ht="15.75" customHeight="1" x14ac:dyDescent="0.25">
      <c r="A173" s="3">
        <v>171</v>
      </c>
      <c r="B173" s="3">
        <v>172</v>
      </c>
      <c r="C173" s="3">
        <v>0.19700000000000001</v>
      </c>
      <c r="D173" s="3">
        <v>0.8</v>
      </c>
      <c r="E173" s="3">
        <v>0.16420000000000001</v>
      </c>
      <c r="F173" s="3">
        <v>5</v>
      </c>
      <c r="G173" s="3">
        <v>56</v>
      </c>
      <c r="H173" s="3">
        <v>61</v>
      </c>
    </row>
    <row r="174" spans="1:8" ht="15.75" customHeight="1" x14ac:dyDescent="0.25">
      <c r="A174" s="3">
        <v>172</v>
      </c>
      <c r="B174" s="3">
        <v>173</v>
      </c>
      <c r="C174" s="3">
        <v>0.18179999999999999</v>
      </c>
      <c r="D174" s="3">
        <v>0.69</v>
      </c>
      <c r="E174" s="3">
        <v>0.3881</v>
      </c>
      <c r="F174" s="3">
        <v>2</v>
      </c>
      <c r="G174" s="3">
        <v>60</v>
      </c>
      <c r="H174" s="3">
        <v>62</v>
      </c>
    </row>
    <row r="175" spans="1:8" ht="15.75" customHeight="1" x14ac:dyDescent="0.25">
      <c r="A175" s="3">
        <v>173</v>
      </c>
      <c r="B175" s="3">
        <v>174</v>
      </c>
      <c r="C175" s="3">
        <v>0.18179999999999999</v>
      </c>
      <c r="D175" s="3">
        <v>0.59</v>
      </c>
      <c r="E175" s="3">
        <v>0.35820000000000002</v>
      </c>
      <c r="F175" s="3">
        <v>8</v>
      </c>
      <c r="G175" s="3">
        <v>90</v>
      </c>
      <c r="H175" s="3">
        <v>98</v>
      </c>
    </row>
    <row r="176" spans="1:8" ht="15.75" customHeight="1" x14ac:dyDescent="0.25">
      <c r="A176" s="3">
        <v>174</v>
      </c>
      <c r="B176" s="3">
        <v>175</v>
      </c>
      <c r="C176" s="3">
        <v>0.18179999999999999</v>
      </c>
      <c r="D176" s="3">
        <v>0.44</v>
      </c>
      <c r="E176" s="3">
        <v>0.32840000000000003</v>
      </c>
      <c r="F176" s="3">
        <v>7</v>
      </c>
      <c r="G176" s="3">
        <v>95</v>
      </c>
      <c r="H176" s="3">
        <v>102</v>
      </c>
    </row>
    <row r="177" spans="1:8" ht="15.75" customHeight="1" x14ac:dyDescent="0.25">
      <c r="A177" s="3">
        <v>175</v>
      </c>
      <c r="B177" s="3">
        <v>176</v>
      </c>
      <c r="C177" s="3">
        <v>0.16669999999999999</v>
      </c>
      <c r="D177" s="3">
        <v>0.32</v>
      </c>
      <c r="E177" s="3">
        <v>0.49249999999999999</v>
      </c>
      <c r="F177" s="3">
        <v>12</v>
      </c>
      <c r="G177" s="3">
        <v>83</v>
      </c>
      <c r="H177" s="3">
        <v>95</v>
      </c>
    </row>
    <row r="178" spans="1:8" ht="15.75" customHeight="1" x14ac:dyDescent="0.25">
      <c r="A178" s="3">
        <v>176</v>
      </c>
      <c r="B178" s="3">
        <v>177</v>
      </c>
      <c r="C178" s="3">
        <v>0.16669999999999999</v>
      </c>
      <c r="D178" s="3">
        <v>0.32</v>
      </c>
      <c r="E178" s="3">
        <v>0.44779999999999998</v>
      </c>
      <c r="F178" s="3">
        <v>5</v>
      </c>
      <c r="G178" s="3">
        <v>69</v>
      </c>
      <c r="H178" s="3">
        <v>74</v>
      </c>
    </row>
    <row r="179" spans="1:8" ht="15.75" customHeight="1" x14ac:dyDescent="0.25">
      <c r="A179" s="3">
        <v>177</v>
      </c>
      <c r="B179" s="3">
        <v>178</v>
      </c>
      <c r="C179" s="3">
        <v>0.13639999999999999</v>
      </c>
      <c r="D179" s="3">
        <v>0.28999999999999998</v>
      </c>
      <c r="E179" s="3">
        <v>0.44779999999999998</v>
      </c>
      <c r="F179" s="3">
        <v>8</v>
      </c>
      <c r="G179" s="3">
        <v>68</v>
      </c>
      <c r="H179" s="3">
        <v>76</v>
      </c>
    </row>
    <row r="180" spans="1:8" ht="15.75" customHeight="1" x14ac:dyDescent="0.25">
      <c r="A180" s="3">
        <v>178</v>
      </c>
      <c r="B180" s="3">
        <v>179</v>
      </c>
      <c r="C180" s="3">
        <v>0.1212</v>
      </c>
      <c r="D180" s="3">
        <v>0.37</v>
      </c>
      <c r="E180" s="3">
        <v>0.55220000000000002</v>
      </c>
      <c r="F180" s="3">
        <v>5</v>
      </c>
      <c r="G180" s="3">
        <v>64</v>
      </c>
      <c r="H180" s="3">
        <v>69</v>
      </c>
    </row>
    <row r="181" spans="1:8" ht="15.75" customHeight="1" x14ac:dyDescent="0.25">
      <c r="A181" s="3">
        <v>179</v>
      </c>
      <c r="B181" s="3">
        <v>180</v>
      </c>
      <c r="C181" s="3">
        <v>0.1212</v>
      </c>
      <c r="D181" s="3">
        <v>0.39</v>
      </c>
      <c r="E181" s="3">
        <v>0.29849999999999999</v>
      </c>
      <c r="F181" s="3">
        <v>3</v>
      </c>
      <c r="G181" s="3">
        <v>52</v>
      </c>
      <c r="H181" s="3">
        <v>55</v>
      </c>
    </row>
    <row r="182" spans="1:8" ht="15.75" customHeight="1" x14ac:dyDescent="0.25">
      <c r="A182" s="3">
        <v>180</v>
      </c>
      <c r="B182" s="3">
        <v>181</v>
      </c>
      <c r="C182" s="3">
        <v>0.1212</v>
      </c>
      <c r="D182" s="3">
        <v>0.36</v>
      </c>
      <c r="E182" s="3">
        <v>0.25369999999999998</v>
      </c>
      <c r="F182" s="3">
        <v>4</v>
      </c>
      <c r="G182" s="3">
        <v>26</v>
      </c>
      <c r="H182" s="3">
        <v>30</v>
      </c>
    </row>
    <row r="183" spans="1:8" ht="15.75" customHeight="1" x14ac:dyDescent="0.25">
      <c r="A183" s="3">
        <v>181</v>
      </c>
      <c r="B183" s="3">
        <v>182</v>
      </c>
      <c r="C183" s="3">
        <v>0.1212</v>
      </c>
      <c r="D183" s="3">
        <v>0.36</v>
      </c>
      <c r="E183" s="3">
        <v>0.25369999999999998</v>
      </c>
      <c r="F183" s="3">
        <v>0</v>
      </c>
      <c r="G183" s="3">
        <v>28</v>
      </c>
      <c r="H183" s="3">
        <v>28</v>
      </c>
    </row>
    <row r="184" spans="1:8" ht="15.75" customHeight="1" x14ac:dyDescent="0.25">
      <c r="A184" s="3">
        <v>182</v>
      </c>
      <c r="B184" s="3">
        <v>183</v>
      </c>
      <c r="C184" s="3">
        <v>0.1061</v>
      </c>
      <c r="D184" s="3">
        <v>0.39</v>
      </c>
      <c r="E184" s="3">
        <v>0.35820000000000002</v>
      </c>
      <c r="F184" s="3">
        <v>2</v>
      </c>
      <c r="G184" s="3">
        <v>35</v>
      </c>
      <c r="H184" s="3">
        <v>37</v>
      </c>
    </row>
    <row r="185" spans="1:8" ht="15.75" customHeight="1" x14ac:dyDescent="0.25">
      <c r="A185" s="3">
        <v>183</v>
      </c>
      <c r="B185" s="3">
        <v>184</v>
      </c>
      <c r="C185" s="3">
        <v>0.1061</v>
      </c>
      <c r="D185" s="3">
        <v>0.36</v>
      </c>
      <c r="E185" s="3">
        <v>0.3881</v>
      </c>
      <c r="F185" s="3">
        <v>1</v>
      </c>
      <c r="G185" s="3">
        <v>33</v>
      </c>
      <c r="H185" s="3">
        <v>34</v>
      </c>
    </row>
    <row r="186" spans="1:8" ht="15.75" customHeight="1" x14ac:dyDescent="0.25">
      <c r="A186" s="3">
        <v>184</v>
      </c>
      <c r="B186" s="3">
        <v>185</v>
      </c>
      <c r="C186" s="3">
        <v>6.0600000000000001E-2</v>
      </c>
      <c r="D186" s="3">
        <v>0.39</v>
      </c>
      <c r="E186" s="3">
        <v>0.44779999999999998</v>
      </c>
      <c r="F186" s="3">
        <v>0</v>
      </c>
      <c r="G186" s="3">
        <v>22</v>
      </c>
      <c r="H186" s="3">
        <v>22</v>
      </c>
    </row>
    <row r="187" spans="1:8" ht="15.75" customHeight="1" x14ac:dyDescent="0.25">
      <c r="A187" s="3">
        <v>185</v>
      </c>
      <c r="B187" s="3">
        <v>186</v>
      </c>
      <c r="C187" s="3">
        <v>7.5800000000000006E-2</v>
      </c>
      <c r="D187" s="3">
        <v>0.42</v>
      </c>
      <c r="E187" s="3">
        <v>0.3881</v>
      </c>
      <c r="F187" s="3">
        <v>1</v>
      </c>
      <c r="G187" s="3">
        <v>24</v>
      </c>
      <c r="H187" s="3">
        <v>25</v>
      </c>
    </row>
    <row r="188" spans="1:8" ht="15.75" customHeight="1" x14ac:dyDescent="0.25">
      <c r="A188" s="3">
        <v>186</v>
      </c>
      <c r="B188" s="3">
        <v>187</v>
      </c>
      <c r="C188" s="3">
        <v>6.0600000000000001E-2</v>
      </c>
      <c r="D188" s="3">
        <v>0.42</v>
      </c>
      <c r="E188" s="3">
        <v>0.4627</v>
      </c>
      <c r="F188" s="3">
        <v>0</v>
      </c>
      <c r="G188" s="3">
        <v>12</v>
      </c>
      <c r="H188" s="3">
        <v>12</v>
      </c>
    </row>
    <row r="189" spans="1:8" ht="15.75" customHeight="1" x14ac:dyDescent="0.25">
      <c r="A189" s="3">
        <v>187</v>
      </c>
      <c r="B189" s="3">
        <v>188</v>
      </c>
      <c r="C189" s="3">
        <v>6.0600000000000001E-2</v>
      </c>
      <c r="D189" s="3">
        <v>0.46</v>
      </c>
      <c r="E189" s="3">
        <v>0.4627</v>
      </c>
      <c r="F189" s="3">
        <v>0</v>
      </c>
      <c r="G189" s="3">
        <v>11</v>
      </c>
      <c r="H189" s="3">
        <v>11</v>
      </c>
    </row>
    <row r="190" spans="1:8" ht="15.75" customHeight="1" x14ac:dyDescent="0.25">
      <c r="A190" s="3">
        <v>188</v>
      </c>
      <c r="B190" s="3">
        <v>189</v>
      </c>
      <c r="C190" s="3">
        <v>7.5800000000000006E-2</v>
      </c>
      <c r="D190" s="3">
        <v>0.46</v>
      </c>
      <c r="E190" s="3">
        <v>0.41789999999999999</v>
      </c>
      <c r="F190" s="3">
        <v>0</v>
      </c>
      <c r="G190" s="3">
        <v>4</v>
      </c>
      <c r="H190" s="3">
        <v>4</v>
      </c>
    </row>
    <row r="191" spans="1:8" ht="15.75" customHeight="1" x14ac:dyDescent="0.25">
      <c r="A191" s="3">
        <v>189</v>
      </c>
      <c r="B191" s="3">
        <v>190</v>
      </c>
      <c r="C191" s="3">
        <v>9.0899999999999995E-2</v>
      </c>
      <c r="D191" s="3">
        <v>0.53</v>
      </c>
      <c r="E191" s="3">
        <v>0.19400000000000001</v>
      </c>
      <c r="F191" s="3">
        <v>0</v>
      </c>
      <c r="G191" s="3">
        <v>1</v>
      </c>
      <c r="H191" s="3">
        <v>1</v>
      </c>
    </row>
    <row r="192" spans="1:8" ht="15.75" customHeight="1" x14ac:dyDescent="0.25">
      <c r="A192" s="3">
        <v>190</v>
      </c>
      <c r="B192" s="3">
        <v>191</v>
      </c>
      <c r="C192" s="3">
        <v>9.0899999999999995E-2</v>
      </c>
      <c r="D192" s="3">
        <v>0.53</v>
      </c>
      <c r="E192" s="3">
        <v>0.19400000000000001</v>
      </c>
      <c r="F192" s="3">
        <v>0</v>
      </c>
      <c r="G192" s="3">
        <v>1</v>
      </c>
      <c r="H192" s="3">
        <v>1</v>
      </c>
    </row>
    <row r="193" spans="1:8" ht="15.75" customHeight="1" x14ac:dyDescent="0.25">
      <c r="A193" s="3">
        <v>191</v>
      </c>
      <c r="B193" s="3">
        <v>192</v>
      </c>
      <c r="C193" s="3">
        <v>9.0899999999999995E-2</v>
      </c>
      <c r="D193" s="3">
        <v>0.49</v>
      </c>
      <c r="E193" s="3">
        <v>0.28360000000000002</v>
      </c>
      <c r="F193" s="3">
        <v>0</v>
      </c>
      <c r="G193" s="3">
        <v>1</v>
      </c>
      <c r="H193" s="3">
        <v>1</v>
      </c>
    </row>
    <row r="194" spans="1:8" ht="15.75" customHeight="1" x14ac:dyDescent="0.25">
      <c r="A194" s="3">
        <v>192</v>
      </c>
      <c r="B194" s="3">
        <v>193</v>
      </c>
      <c r="C194" s="3">
        <v>9.0899999999999995E-2</v>
      </c>
      <c r="D194" s="3">
        <v>0.53</v>
      </c>
      <c r="E194" s="3">
        <v>0.19400000000000001</v>
      </c>
      <c r="F194" s="3">
        <v>1</v>
      </c>
      <c r="G194" s="3">
        <v>5</v>
      </c>
      <c r="H194" s="3">
        <v>6</v>
      </c>
    </row>
    <row r="195" spans="1:8" ht="15.75" customHeight="1" x14ac:dyDescent="0.25">
      <c r="A195" s="3">
        <v>193</v>
      </c>
      <c r="B195" s="3">
        <v>194</v>
      </c>
      <c r="C195" s="3">
        <v>9.0899999999999995E-2</v>
      </c>
      <c r="D195" s="3">
        <v>0.49</v>
      </c>
      <c r="E195" s="3">
        <v>0.28360000000000002</v>
      </c>
      <c r="F195" s="3">
        <v>0</v>
      </c>
      <c r="G195" s="3">
        <v>10</v>
      </c>
      <c r="H195" s="3">
        <v>10</v>
      </c>
    </row>
    <row r="196" spans="1:8" ht="15.75" customHeight="1" x14ac:dyDescent="0.25">
      <c r="A196" s="3">
        <v>194</v>
      </c>
      <c r="B196" s="3">
        <v>195</v>
      </c>
      <c r="C196" s="3">
        <v>7.5800000000000006E-2</v>
      </c>
      <c r="D196" s="3">
        <v>0.46</v>
      </c>
      <c r="E196" s="3">
        <v>0.52239999999999998</v>
      </c>
      <c r="F196" s="3">
        <v>0</v>
      </c>
      <c r="G196" s="3">
        <v>19</v>
      </c>
      <c r="H196" s="3">
        <v>19</v>
      </c>
    </row>
    <row r="197" spans="1:8" ht="15.75" customHeight="1" x14ac:dyDescent="0.25">
      <c r="A197" s="3">
        <v>195</v>
      </c>
      <c r="B197" s="3">
        <v>196</v>
      </c>
      <c r="C197" s="3">
        <v>0.1061</v>
      </c>
      <c r="D197" s="3">
        <v>0.43</v>
      </c>
      <c r="E197" s="3">
        <v>0.3881</v>
      </c>
      <c r="F197" s="3">
        <v>0</v>
      </c>
      <c r="G197" s="3">
        <v>49</v>
      </c>
      <c r="H197" s="3">
        <v>49</v>
      </c>
    </row>
    <row r="198" spans="1:8" ht="15.75" customHeight="1" x14ac:dyDescent="0.25">
      <c r="A198" s="3">
        <v>196</v>
      </c>
      <c r="B198" s="3">
        <v>197</v>
      </c>
      <c r="C198" s="3">
        <v>0.1212</v>
      </c>
      <c r="D198" s="3">
        <v>0.4</v>
      </c>
      <c r="E198" s="3">
        <v>0.52239999999999998</v>
      </c>
      <c r="F198" s="3">
        <v>2</v>
      </c>
      <c r="G198" s="3">
        <v>47</v>
      </c>
      <c r="H198" s="3">
        <v>49</v>
      </c>
    </row>
    <row r="199" spans="1:8" ht="15.75" customHeight="1" x14ac:dyDescent="0.25">
      <c r="A199" s="3">
        <v>197</v>
      </c>
      <c r="B199" s="3">
        <v>198</v>
      </c>
      <c r="C199" s="3">
        <v>0.13639999999999999</v>
      </c>
      <c r="D199" s="3">
        <v>0.37</v>
      </c>
      <c r="E199" s="3">
        <v>0.44779999999999998</v>
      </c>
      <c r="F199" s="3">
        <v>4</v>
      </c>
      <c r="G199" s="3">
        <v>79</v>
      </c>
      <c r="H199" s="3">
        <v>83</v>
      </c>
    </row>
    <row r="200" spans="1:8" ht="15.75" customHeight="1" x14ac:dyDescent="0.25">
      <c r="A200" s="3">
        <v>198</v>
      </c>
      <c r="B200" s="3">
        <v>199</v>
      </c>
      <c r="C200" s="3">
        <v>0.16669999999999999</v>
      </c>
      <c r="D200" s="3">
        <v>0.34</v>
      </c>
      <c r="E200" s="3">
        <v>0.44779999999999998</v>
      </c>
      <c r="F200" s="3">
        <v>6</v>
      </c>
      <c r="G200" s="3">
        <v>69</v>
      </c>
      <c r="H200" s="3">
        <v>75</v>
      </c>
    </row>
    <row r="201" spans="1:8" ht="15.75" customHeight="1" x14ac:dyDescent="0.25">
      <c r="A201" s="3">
        <v>199</v>
      </c>
      <c r="B201" s="3">
        <v>200</v>
      </c>
      <c r="C201" s="3">
        <v>0.18179999999999999</v>
      </c>
      <c r="D201" s="3">
        <v>0.32</v>
      </c>
      <c r="E201" s="3">
        <v>0.4627</v>
      </c>
      <c r="F201" s="3">
        <v>8</v>
      </c>
      <c r="G201" s="3">
        <v>64</v>
      </c>
      <c r="H201" s="3">
        <v>72</v>
      </c>
    </row>
    <row r="202" spans="1:8" ht="15.75" customHeight="1" x14ac:dyDescent="0.25">
      <c r="A202" s="3">
        <v>200</v>
      </c>
      <c r="B202" s="3">
        <v>201</v>
      </c>
      <c r="C202" s="3">
        <v>0.19700000000000001</v>
      </c>
      <c r="D202" s="3">
        <v>0.35</v>
      </c>
      <c r="E202" s="3">
        <v>0.35820000000000002</v>
      </c>
      <c r="F202" s="3">
        <v>5</v>
      </c>
      <c r="G202" s="3">
        <v>77</v>
      </c>
      <c r="H202" s="3">
        <v>82</v>
      </c>
    </row>
    <row r="203" spans="1:8" ht="15.75" customHeight="1" x14ac:dyDescent="0.25">
      <c r="A203" s="3">
        <v>201</v>
      </c>
      <c r="B203" s="3">
        <v>202</v>
      </c>
      <c r="C203" s="3">
        <v>0.16669999999999999</v>
      </c>
      <c r="D203" s="3">
        <v>0.34</v>
      </c>
      <c r="E203" s="3">
        <v>0.44779999999999998</v>
      </c>
      <c r="F203" s="3">
        <v>13</v>
      </c>
      <c r="G203" s="3">
        <v>79</v>
      </c>
      <c r="H203" s="3">
        <v>92</v>
      </c>
    </row>
    <row r="204" spans="1:8" ht="15.75" customHeight="1" x14ac:dyDescent="0.25">
      <c r="A204" s="3">
        <v>202</v>
      </c>
      <c r="B204" s="3">
        <v>203</v>
      </c>
      <c r="C204" s="3">
        <v>0.1515</v>
      </c>
      <c r="D204" s="3">
        <v>0.37</v>
      </c>
      <c r="E204" s="3">
        <v>0.3881</v>
      </c>
      <c r="F204" s="3">
        <v>3</v>
      </c>
      <c r="G204" s="3">
        <v>59</v>
      </c>
      <c r="H204" s="3">
        <v>62</v>
      </c>
    </row>
    <row r="205" spans="1:8" ht="15.75" customHeight="1" x14ac:dyDescent="0.25">
      <c r="A205" s="3">
        <v>203</v>
      </c>
      <c r="B205" s="3">
        <v>204</v>
      </c>
      <c r="C205" s="3">
        <v>0.13639999999999999</v>
      </c>
      <c r="D205" s="3">
        <v>0.4</v>
      </c>
      <c r="E205" s="3">
        <v>0.32840000000000003</v>
      </c>
      <c r="F205" s="3">
        <v>4</v>
      </c>
      <c r="G205" s="3">
        <v>44</v>
      </c>
      <c r="H205" s="3">
        <v>48</v>
      </c>
    </row>
    <row r="206" spans="1:8" ht="15.75" customHeight="1" x14ac:dyDescent="0.25">
      <c r="A206" s="3">
        <v>204</v>
      </c>
      <c r="B206" s="3">
        <v>205</v>
      </c>
      <c r="C206" s="3">
        <v>0.13639999999999999</v>
      </c>
      <c r="D206" s="3">
        <v>0.43</v>
      </c>
      <c r="E206" s="3">
        <v>0.32840000000000003</v>
      </c>
      <c r="F206" s="3">
        <v>1</v>
      </c>
      <c r="G206" s="3">
        <v>40</v>
      </c>
      <c r="H206" s="3">
        <v>41</v>
      </c>
    </row>
    <row r="207" spans="1:8" ht="15.75" customHeight="1" x14ac:dyDescent="0.25">
      <c r="A207" s="3">
        <v>205</v>
      </c>
      <c r="B207" s="3">
        <v>206</v>
      </c>
      <c r="C207" s="3">
        <v>0.1212</v>
      </c>
      <c r="D207" s="3">
        <v>0.46</v>
      </c>
      <c r="E207" s="3">
        <v>0.25369999999999998</v>
      </c>
      <c r="F207" s="3">
        <v>0</v>
      </c>
      <c r="G207" s="3">
        <v>38</v>
      </c>
      <c r="H207" s="3">
        <v>38</v>
      </c>
    </row>
    <row r="208" spans="1:8" ht="15.75" customHeight="1" x14ac:dyDescent="0.25">
      <c r="A208" s="3">
        <v>206</v>
      </c>
      <c r="B208" s="3">
        <v>207</v>
      </c>
      <c r="C208" s="3">
        <v>0.1061</v>
      </c>
      <c r="D208" s="3">
        <v>0.46</v>
      </c>
      <c r="E208" s="3">
        <v>0.41789999999999999</v>
      </c>
      <c r="F208" s="3">
        <v>1</v>
      </c>
      <c r="G208" s="3">
        <v>19</v>
      </c>
      <c r="H208" s="3">
        <v>20</v>
      </c>
    </row>
    <row r="209" spans="1:8" ht="15.75" customHeight="1" x14ac:dyDescent="0.25">
      <c r="A209" s="3">
        <v>207</v>
      </c>
      <c r="B209" s="3">
        <v>208</v>
      </c>
      <c r="C209" s="3">
        <v>0.1212</v>
      </c>
      <c r="D209" s="3">
        <v>0.46</v>
      </c>
      <c r="E209" s="3">
        <v>0.29849999999999999</v>
      </c>
      <c r="F209" s="3">
        <v>5</v>
      </c>
      <c r="G209" s="3">
        <v>10</v>
      </c>
      <c r="H209" s="3">
        <v>15</v>
      </c>
    </row>
    <row r="210" spans="1:8" ht="15.75" customHeight="1" x14ac:dyDescent="0.25">
      <c r="A210" s="3">
        <v>208</v>
      </c>
      <c r="B210" s="3">
        <v>209</v>
      </c>
      <c r="C210" s="3">
        <v>0.13639999999999999</v>
      </c>
      <c r="D210" s="3">
        <v>0.5</v>
      </c>
      <c r="E210" s="3">
        <v>0.19400000000000001</v>
      </c>
      <c r="F210" s="3">
        <v>0</v>
      </c>
      <c r="G210" s="3">
        <v>6</v>
      </c>
      <c r="H210" s="3">
        <v>6</v>
      </c>
    </row>
    <row r="211" spans="1:8" ht="15.75" customHeight="1" x14ac:dyDescent="0.25">
      <c r="A211" s="3">
        <v>209</v>
      </c>
      <c r="B211" s="3">
        <v>210</v>
      </c>
      <c r="C211" s="3">
        <v>0.1212</v>
      </c>
      <c r="D211" s="3">
        <v>0.5</v>
      </c>
      <c r="E211" s="3">
        <v>0.28360000000000002</v>
      </c>
      <c r="F211" s="3">
        <v>2</v>
      </c>
      <c r="G211" s="3">
        <v>3</v>
      </c>
      <c r="H211" s="3">
        <v>5</v>
      </c>
    </row>
    <row r="212" spans="1:8" ht="15.75" customHeight="1" x14ac:dyDescent="0.25">
      <c r="A212" s="3">
        <v>210</v>
      </c>
      <c r="B212" s="3">
        <v>211</v>
      </c>
      <c r="C212" s="3">
        <v>0.1212</v>
      </c>
      <c r="D212" s="3">
        <v>0.5</v>
      </c>
      <c r="E212" s="3">
        <v>0.28360000000000002</v>
      </c>
      <c r="F212" s="3">
        <v>1</v>
      </c>
      <c r="G212" s="3">
        <v>0</v>
      </c>
      <c r="H212" s="3">
        <v>1</v>
      </c>
    </row>
    <row r="213" spans="1:8" ht="15.75" customHeight="1" x14ac:dyDescent="0.25">
      <c r="A213" s="3">
        <v>211</v>
      </c>
      <c r="B213" s="3">
        <v>212</v>
      </c>
      <c r="C213" s="3">
        <v>0.1212</v>
      </c>
      <c r="D213" s="3">
        <v>0.5</v>
      </c>
      <c r="E213" s="3">
        <v>0.22389999999999999</v>
      </c>
      <c r="F213" s="3">
        <v>0</v>
      </c>
      <c r="G213" s="3">
        <v>3</v>
      </c>
      <c r="H213" s="3">
        <v>3</v>
      </c>
    </row>
    <row r="214" spans="1:8" ht="15.75" customHeight="1" x14ac:dyDescent="0.25">
      <c r="A214" s="3">
        <v>212</v>
      </c>
      <c r="B214" s="3">
        <v>213</v>
      </c>
      <c r="C214" s="3">
        <v>0.1212</v>
      </c>
      <c r="D214" s="3">
        <v>0.5</v>
      </c>
      <c r="E214" s="3">
        <v>0.22389999999999999</v>
      </c>
      <c r="F214" s="3">
        <v>0</v>
      </c>
      <c r="G214" s="3">
        <v>1</v>
      </c>
      <c r="H214" s="3">
        <v>1</v>
      </c>
    </row>
    <row r="215" spans="1:8" ht="15.75" customHeight="1" x14ac:dyDescent="0.25">
      <c r="A215" s="3">
        <v>213</v>
      </c>
      <c r="B215" s="3">
        <v>214</v>
      </c>
      <c r="C215" s="3">
        <v>0.1212</v>
      </c>
      <c r="D215" s="3">
        <v>0.54</v>
      </c>
      <c r="E215" s="3">
        <v>0.1343</v>
      </c>
      <c r="F215" s="3">
        <v>1</v>
      </c>
      <c r="G215" s="3">
        <v>2</v>
      </c>
      <c r="H215" s="3">
        <v>3</v>
      </c>
    </row>
    <row r="216" spans="1:8" ht="15.75" customHeight="1" x14ac:dyDescent="0.25">
      <c r="A216" s="3">
        <v>214</v>
      </c>
      <c r="B216" s="3">
        <v>215</v>
      </c>
      <c r="C216" s="3">
        <v>0.1061</v>
      </c>
      <c r="D216" s="3">
        <v>0.54</v>
      </c>
      <c r="E216" s="3">
        <v>0.25369999999999998</v>
      </c>
      <c r="F216" s="3">
        <v>0</v>
      </c>
      <c r="G216" s="3">
        <v>3</v>
      </c>
      <c r="H216" s="3">
        <v>3</v>
      </c>
    </row>
    <row r="217" spans="1:8" ht="15.75" customHeight="1" x14ac:dyDescent="0.25">
      <c r="A217" s="3">
        <v>215</v>
      </c>
      <c r="B217" s="3">
        <v>216</v>
      </c>
      <c r="C217" s="3">
        <v>0.1212</v>
      </c>
      <c r="D217" s="3">
        <v>0.5</v>
      </c>
      <c r="E217" s="3">
        <v>0.28360000000000002</v>
      </c>
      <c r="F217" s="3">
        <v>0</v>
      </c>
      <c r="G217" s="3">
        <v>31</v>
      </c>
      <c r="H217" s="3">
        <v>31</v>
      </c>
    </row>
    <row r="218" spans="1:8" ht="15.75" customHeight="1" x14ac:dyDescent="0.25">
      <c r="A218" s="3">
        <v>216</v>
      </c>
      <c r="B218" s="3">
        <v>217</v>
      </c>
      <c r="C218" s="3">
        <v>0.1212</v>
      </c>
      <c r="D218" s="3">
        <v>0.5</v>
      </c>
      <c r="E218" s="3">
        <v>0.22389999999999999</v>
      </c>
      <c r="F218" s="3">
        <v>2</v>
      </c>
      <c r="G218" s="3">
        <v>75</v>
      </c>
      <c r="H218" s="3">
        <v>77</v>
      </c>
    </row>
    <row r="219" spans="1:8" ht="15.75" customHeight="1" x14ac:dyDescent="0.25">
      <c r="A219" s="3">
        <v>217</v>
      </c>
      <c r="B219" s="3">
        <v>218</v>
      </c>
      <c r="C219" s="3">
        <v>0.1212</v>
      </c>
      <c r="D219" s="3">
        <v>0.5</v>
      </c>
      <c r="E219" s="3">
        <v>0.28360000000000002</v>
      </c>
      <c r="F219" s="3">
        <v>4</v>
      </c>
      <c r="G219" s="3">
        <v>184</v>
      </c>
      <c r="H219" s="3">
        <v>188</v>
      </c>
    </row>
    <row r="220" spans="1:8" ht="15.75" customHeight="1" x14ac:dyDescent="0.25">
      <c r="A220" s="3">
        <v>218</v>
      </c>
      <c r="B220" s="3">
        <v>219</v>
      </c>
      <c r="C220" s="3">
        <v>0.1212</v>
      </c>
      <c r="D220" s="3">
        <v>0.5</v>
      </c>
      <c r="E220" s="3">
        <v>0.25369999999999998</v>
      </c>
      <c r="F220" s="3">
        <v>2</v>
      </c>
      <c r="G220" s="3">
        <v>92</v>
      </c>
      <c r="H220" s="3">
        <v>94</v>
      </c>
    </row>
    <row r="221" spans="1:8" ht="15.75" customHeight="1" x14ac:dyDescent="0.25">
      <c r="A221" s="3">
        <v>219</v>
      </c>
      <c r="B221" s="3">
        <v>220</v>
      </c>
      <c r="C221" s="3">
        <v>0.1212</v>
      </c>
      <c r="D221" s="3">
        <v>0.5</v>
      </c>
      <c r="E221" s="3">
        <v>0.29849999999999999</v>
      </c>
      <c r="F221" s="3">
        <v>0</v>
      </c>
      <c r="G221" s="3">
        <v>31</v>
      </c>
      <c r="H221" s="3">
        <v>31</v>
      </c>
    </row>
    <row r="222" spans="1:8" ht="15.75" customHeight="1" x14ac:dyDescent="0.25">
      <c r="A222" s="3">
        <v>220</v>
      </c>
      <c r="B222" s="3">
        <v>221</v>
      </c>
      <c r="C222" s="3">
        <v>0.13639999999999999</v>
      </c>
      <c r="D222" s="3">
        <v>0.47</v>
      </c>
      <c r="E222" s="3">
        <v>0.28360000000000002</v>
      </c>
      <c r="F222" s="3">
        <v>2</v>
      </c>
      <c r="G222" s="3">
        <v>28</v>
      </c>
      <c r="H222" s="3">
        <v>30</v>
      </c>
    </row>
    <row r="223" spans="1:8" ht="15.75" customHeight="1" x14ac:dyDescent="0.25">
      <c r="A223" s="3">
        <v>221</v>
      </c>
      <c r="B223" s="3">
        <v>222</v>
      </c>
      <c r="C223" s="3">
        <v>0.18179999999999999</v>
      </c>
      <c r="D223" s="3">
        <v>0.4</v>
      </c>
      <c r="E223" s="3">
        <v>0.28360000000000002</v>
      </c>
      <c r="F223" s="3">
        <v>5</v>
      </c>
      <c r="G223" s="3">
        <v>47</v>
      </c>
      <c r="H223" s="3">
        <v>52</v>
      </c>
    </row>
    <row r="224" spans="1:8" ht="15.75" customHeight="1" x14ac:dyDescent="0.25">
      <c r="A224" s="3">
        <v>222</v>
      </c>
      <c r="B224" s="3">
        <v>223</v>
      </c>
      <c r="C224" s="3">
        <v>0.18179999999999999</v>
      </c>
      <c r="D224" s="3">
        <v>0.4</v>
      </c>
      <c r="E224" s="3">
        <v>0.28360000000000002</v>
      </c>
      <c r="F224" s="3">
        <v>4</v>
      </c>
      <c r="G224" s="3">
        <v>50</v>
      </c>
      <c r="H224" s="3">
        <v>54</v>
      </c>
    </row>
    <row r="225" spans="1:8" ht="15.75" customHeight="1" x14ac:dyDescent="0.25">
      <c r="A225" s="3">
        <v>223</v>
      </c>
      <c r="B225" s="3">
        <v>224</v>
      </c>
      <c r="C225" s="3">
        <v>0.19700000000000001</v>
      </c>
      <c r="D225" s="3">
        <v>0.4</v>
      </c>
      <c r="E225" s="3">
        <v>0.22389999999999999</v>
      </c>
      <c r="F225" s="3">
        <v>0</v>
      </c>
      <c r="G225" s="3">
        <v>47</v>
      </c>
      <c r="H225" s="3">
        <v>47</v>
      </c>
    </row>
    <row r="226" spans="1:8" ht="15.75" customHeight="1" x14ac:dyDescent="0.25">
      <c r="A226" s="3">
        <v>224</v>
      </c>
      <c r="B226" s="3">
        <v>225</v>
      </c>
      <c r="C226" s="3">
        <v>0.19700000000000001</v>
      </c>
      <c r="D226" s="3">
        <v>0.4</v>
      </c>
      <c r="E226" s="3">
        <v>0.22389999999999999</v>
      </c>
      <c r="F226" s="3">
        <v>2</v>
      </c>
      <c r="G226" s="3">
        <v>43</v>
      </c>
      <c r="H226" s="3">
        <v>45</v>
      </c>
    </row>
    <row r="227" spans="1:8" ht="15.75" customHeight="1" x14ac:dyDescent="0.25">
      <c r="A227" s="3">
        <v>225</v>
      </c>
      <c r="B227" s="3">
        <v>226</v>
      </c>
      <c r="C227" s="3">
        <v>0.21210000000000001</v>
      </c>
      <c r="D227" s="3">
        <v>0.4</v>
      </c>
      <c r="E227" s="3">
        <v>0.1343</v>
      </c>
      <c r="F227" s="3">
        <v>4</v>
      </c>
      <c r="G227" s="3">
        <v>70</v>
      </c>
      <c r="H227" s="3">
        <v>74</v>
      </c>
    </row>
    <row r="228" spans="1:8" ht="15.75" customHeight="1" x14ac:dyDescent="0.25">
      <c r="A228" s="3">
        <v>226</v>
      </c>
      <c r="B228" s="3">
        <v>227</v>
      </c>
      <c r="C228" s="3">
        <v>0.2273</v>
      </c>
      <c r="D228" s="3">
        <v>0.4</v>
      </c>
      <c r="E228" s="3">
        <v>0.1045</v>
      </c>
      <c r="F228" s="3">
        <v>4</v>
      </c>
      <c r="G228" s="3">
        <v>174</v>
      </c>
      <c r="H228" s="3">
        <v>178</v>
      </c>
    </row>
    <row r="229" spans="1:8" ht="15.75" customHeight="1" x14ac:dyDescent="0.25">
      <c r="A229" s="3">
        <v>227</v>
      </c>
      <c r="B229" s="3">
        <v>228</v>
      </c>
      <c r="C229" s="3">
        <v>0.19700000000000001</v>
      </c>
      <c r="D229" s="3">
        <v>0.4</v>
      </c>
      <c r="E229" s="3">
        <v>0.22389999999999999</v>
      </c>
      <c r="F229" s="3">
        <v>1</v>
      </c>
      <c r="G229" s="3">
        <v>154</v>
      </c>
      <c r="H229" s="3">
        <v>155</v>
      </c>
    </row>
    <row r="230" spans="1:8" ht="15.75" customHeight="1" x14ac:dyDescent="0.25">
      <c r="A230" s="3">
        <v>228</v>
      </c>
      <c r="B230" s="3">
        <v>229</v>
      </c>
      <c r="C230" s="3">
        <v>0.16669999999999999</v>
      </c>
      <c r="D230" s="3">
        <v>0.47</v>
      </c>
      <c r="E230" s="3">
        <v>0.16420000000000001</v>
      </c>
      <c r="F230" s="3">
        <v>3</v>
      </c>
      <c r="G230" s="3">
        <v>92</v>
      </c>
      <c r="H230" s="3">
        <v>95</v>
      </c>
    </row>
    <row r="231" spans="1:8" ht="15.75" customHeight="1" x14ac:dyDescent="0.25">
      <c r="A231" s="3">
        <v>229</v>
      </c>
      <c r="B231" s="3">
        <v>230</v>
      </c>
      <c r="C231" s="3">
        <v>0.16669999999999999</v>
      </c>
      <c r="D231" s="3">
        <v>0.5</v>
      </c>
      <c r="E231" s="3">
        <v>0.16420000000000001</v>
      </c>
      <c r="F231" s="3">
        <v>1</v>
      </c>
      <c r="G231" s="3">
        <v>73</v>
      </c>
      <c r="H231" s="3">
        <v>74</v>
      </c>
    </row>
    <row r="232" spans="1:8" ht="15.75" customHeight="1" x14ac:dyDescent="0.25">
      <c r="A232" s="3">
        <v>230</v>
      </c>
      <c r="B232" s="3">
        <v>231</v>
      </c>
      <c r="C232" s="3">
        <v>0.13639999999999999</v>
      </c>
      <c r="D232" s="3">
        <v>0.59</v>
      </c>
      <c r="E232" s="3">
        <v>0.19400000000000001</v>
      </c>
      <c r="F232" s="3">
        <v>1</v>
      </c>
      <c r="G232" s="3">
        <v>37</v>
      </c>
      <c r="H232" s="3">
        <v>38</v>
      </c>
    </row>
    <row r="233" spans="1:8" ht="15.75" customHeight="1" x14ac:dyDescent="0.25">
      <c r="A233" s="3">
        <v>231</v>
      </c>
      <c r="B233" s="3">
        <v>232</v>
      </c>
      <c r="C233" s="3">
        <v>0.1515</v>
      </c>
      <c r="D233" s="3">
        <v>0.59</v>
      </c>
      <c r="E233" s="3">
        <v>0.16420000000000001</v>
      </c>
      <c r="F233" s="3">
        <v>2</v>
      </c>
      <c r="G233" s="3">
        <v>22</v>
      </c>
      <c r="H233" s="3">
        <v>24</v>
      </c>
    </row>
    <row r="234" spans="1:8" ht="15.75" customHeight="1" x14ac:dyDescent="0.25">
      <c r="A234" s="3">
        <v>232</v>
      </c>
      <c r="B234" s="3">
        <v>233</v>
      </c>
      <c r="C234" s="3">
        <v>0.1515</v>
      </c>
      <c r="D234" s="3">
        <v>0.59</v>
      </c>
      <c r="E234" s="3">
        <v>0.16420000000000001</v>
      </c>
      <c r="F234" s="3">
        <v>0</v>
      </c>
      <c r="G234" s="3">
        <v>18</v>
      </c>
      <c r="H234" s="3">
        <v>18</v>
      </c>
    </row>
    <row r="235" spans="1:8" ht="15.75" customHeight="1" x14ac:dyDescent="0.25">
      <c r="A235" s="3">
        <v>233</v>
      </c>
      <c r="B235" s="3">
        <v>234</v>
      </c>
      <c r="C235" s="3">
        <v>0.16669999999999999</v>
      </c>
      <c r="D235" s="3">
        <v>0.59</v>
      </c>
      <c r="E235" s="3">
        <v>0.1045</v>
      </c>
      <c r="F235" s="3">
        <v>2</v>
      </c>
      <c r="G235" s="3">
        <v>10</v>
      </c>
      <c r="H235" s="3">
        <v>12</v>
      </c>
    </row>
    <row r="236" spans="1:8" ht="15.75" customHeight="1" x14ac:dyDescent="0.25">
      <c r="A236" s="3">
        <v>234</v>
      </c>
      <c r="B236" s="3">
        <v>235</v>
      </c>
      <c r="C236" s="3">
        <v>0.1515</v>
      </c>
      <c r="D236" s="3">
        <v>0.59</v>
      </c>
      <c r="E236" s="3">
        <v>0.16420000000000001</v>
      </c>
      <c r="F236" s="3">
        <v>0</v>
      </c>
      <c r="G236" s="3">
        <v>3</v>
      </c>
      <c r="H236" s="3">
        <v>3</v>
      </c>
    </row>
    <row r="237" spans="1:8" ht="15.75" customHeight="1" x14ac:dyDescent="0.25">
      <c r="A237" s="3">
        <v>235</v>
      </c>
      <c r="B237" s="3">
        <v>236</v>
      </c>
      <c r="C237" s="3">
        <v>0.1515</v>
      </c>
      <c r="D237" s="3">
        <v>0.55000000000000004</v>
      </c>
      <c r="E237" s="3">
        <v>0.19400000000000001</v>
      </c>
      <c r="F237" s="3">
        <v>0</v>
      </c>
      <c r="G237" s="3">
        <v>3</v>
      </c>
      <c r="H237" s="3">
        <v>3</v>
      </c>
    </row>
    <row r="238" spans="1:8" ht="15.75" customHeight="1" x14ac:dyDescent="0.25">
      <c r="A238" s="3">
        <v>236</v>
      </c>
      <c r="B238" s="3">
        <v>237</v>
      </c>
      <c r="C238" s="3">
        <v>0.18179999999999999</v>
      </c>
      <c r="D238" s="3">
        <v>0.55000000000000004</v>
      </c>
      <c r="E238" s="3">
        <v>0.1343</v>
      </c>
      <c r="F238" s="3">
        <v>0</v>
      </c>
      <c r="G238" s="3">
        <v>6</v>
      </c>
      <c r="H238" s="3">
        <v>6</v>
      </c>
    </row>
    <row r="239" spans="1:8" ht="15.75" customHeight="1" x14ac:dyDescent="0.25">
      <c r="A239" s="3">
        <v>237</v>
      </c>
      <c r="B239" s="3">
        <v>238</v>
      </c>
      <c r="C239" s="3">
        <v>0.18179999999999999</v>
      </c>
      <c r="D239" s="3">
        <v>0.55000000000000004</v>
      </c>
      <c r="E239" s="3">
        <v>0.1343</v>
      </c>
      <c r="F239" s="3">
        <v>0</v>
      </c>
      <c r="G239" s="3">
        <v>27</v>
      </c>
      <c r="H239" s="3">
        <v>27</v>
      </c>
    </row>
    <row r="240" spans="1:8" ht="15.75" customHeight="1" x14ac:dyDescent="0.25">
      <c r="A240" s="3">
        <v>238</v>
      </c>
      <c r="B240" s="3">
        <v>239</v>
      </c>
      <c r="C240" s="3">
        <v>0.2273</v>
      </c>
      <c r="D240" s="3">
        <v>0.55000000000000004</v>
      </c>
      <c r="E240" s="3">
        <v>0</v>
      </c>
      <c r="F240" s="3">
        <v>2</v>
      </c>
      <c r="G240" s="3">
        <v>97</v>
      </c>
      <c r="H240" s="3">
        <v>99</v>
      </c>
    </row>
    <row r="241" spans="1:8" ht="15.75" customHeight="1" x14ac:dyDescent="0.25">
      <c r="A241" s="3">
        <v>239</v>
      </c>
      <c r="B241" s="3">
        <v>240</v>
      </c>
      <c r="C241" s="3">
        <v>0.21210000000000001</v>
      </c>
      <c r="D241" s="3">
        <v>0.51</v>
      </c>
      <c r="E241" s="3">
        <v>8.9599999999999999E-2</v>
      </c>
      <c r="F241" s="3">
        <v>3</v>
      </c>
      <c r="G241" s="3">
        <v>214</v>
      </c>
      <c r="H241" s="3">
        <v>217</v>
      </c>
    </row>
    <row r="242" spans="1:8" ht="15.75" customHeight="1" x14ac:dyDescent="0.25">
      <c r="A242" s="3">
        <v>240</v>
      </c>
      <c r="B242" s="3">
        <v>241</v>
      </c>
      <c r="C242" s="3">
        <v>0.19700000000000001</v>
      </c>
      <c r="D242" s="3">
        <v>0.51</v>
      </c>
      <c r="E242" s="3">
        <v>0.16420000000000001</v>
      </c>
      <c r="F242" s="3">
        <v>3</v>
      </c>
      <c r="G242" s="3">
        <v>127</v>
      </c>
      <c r="H242" s="3">
        <v>130</v>
      </c>
    </row>
    <row r="243" spans="1:8" ht="15.75" customHeight="1" x14ac:dyDescent="0.25">
      <c r="A243" s="3">
        <v>241</v>
      </c>
      <c r="B243" s="3">
        <v>242</v>
      </c>
      <c r="C243" s="3">
        <v>0.21210000000000001</v>
      </c>
      <c r="D243" s="3">
        <v>0.51</v>
      </c>
      <c r="E243" s="3">
        <v>0.16420000000000001</v>
      </c>
      <c r="F243" s="3">
        <v>3</v>
      </c>
      <c r="G243" s="3">
        <v>51</v>
      </c>
      <c r="H243" s="3">
        <v>54</v>
      </c>
    </row>
    <row r="244" spans="1:8" ht="15.75" customHeight="1" x14ac:dyDescent="0.25">
      <c r="A244" s="3">
        <v>242</v>
      </c>
      <c r="B244" s="3">
        <v>243</v>
      </c>
      <c r="C244" s="3">
        <v>0.21210000000000001</v>
      </c>
      <c r="D244" s="3">
        <v>0.47</v>
      </c>
      <c r="E244" s="3">
        <v>0.1343</v>
      </c>
      <c r="F244" s="3">
        <v>4</v>
      </c>
      <c r="G244" s="3">
        <v>31</v>
      </c>
      <c r="H244" s="3">
        <v>35</v>
      </c>
    </row>
    <row r="245" spans="1:8" ht="15.75" customHeight="1" x14ac:dyDescent="0.25">
      <c r="A245" s="3">
        <v>243</v>
      </c>
      <c r="B245" s="3">
        <v>244</v>
      </c>
      <c r="C245" s="3">
        <v>0.2273</v>
      </c>
      <c r="D245" s="3">
        <v>0.51</v>
      </c>
      <c r="E245" s="3">
        <v>0.1045</v>
      </c>
      <c r="F245" s="3">
        <v>2</v>
      </c>
      <c r="G245" s="3">
        <v>55</v>
      </c>
      <c r="H245" s="3">
        <v>57</v>
      </c>
    </row>
    <row r="246" spans="1:8" ht="15.75" customHeight="1" x14ac:dyDescent="0.25">
      <c r="A246" s="3">
        <v>244</v>
      </c>
      <c r="B246" s="3">
        <v>245</v>
      </c>
      <c r="C246" s="3">
        <v>0.2273</v>
      </c>
      <c r="D246" s="3">
        <v>0.59</v>
      </c>
      <c r="E246" s="3">
        <v>8.9599999999999999E-2</v>
      </c>
      <c r="F246" s="3">
        <v>6</v>
      </c>
      <c r="G246" s="3">
        <v>46</v>
      </c>
      <c r="H246" s="3">
        <v>52</v>
      </c>
    </row>
    <row r="247" spans="1:8" ht="15.75" customHeight="1" x14ac:dyDescent="0.25">
      <c r="A247" s="3">
        <v>245</v>
      </c>
      <c r="B247" s="3">
        <v>246</v>
      </c>
      <c r="C247" s="3">
        <v>0.2273</v>
      </c>
      <c r="D247" s="3">
        <v>0.59</v>
      </c>
      <c r="E247" s="3">
        <v>8.9599999999999999E-2</v>
      </c>
      <c r="F247" s="3">
        <v>3</v>
      </c>
      <c r="G247" s="3">
        <v>60</v>
      </c>
      <c r="H247" s="3">
        <v>63</v>
      </c>
    </row>
    <row r="248" spans="1:8" ht="15.75" customHeight="1" x14ac:dyDescent="0.25">
      <c r="A248" s="3">
        <v>246</v>
      </c>
      <c r="B248" s="3">
        <v>247</v>
      </c>
      <c r="C248" s="3">
        <v>0.19700000000000001</v>
      </c>
      <c r="D248" s="3">
        <v>0.8</v>
      </c>
      <c r="E248" s="3">
        <v>8.9599999999999999E-2</v>
      </c>
      <c r="F248" s="3">
        <v>2</v>
      </c>
      <c r="G248" s="3">
        <v>45</v>
      </c>
      <c r="H248" s="3">
        <v>47</v>
      </c>
    </row>
    <row r="249" spans="1:8" ht="15.75" customHeight="1" x14ac:dyDescent="0.25">
      <c r="A249" s="3">
        <v>247</v>
      </c>
      <c r="B249" s="3">
        <v>248</v>
      </c>
      <c r="C249" s="3">
        <v>0.1515</v>
      </c>
      <c r="D249" s="3">
        <v>0.86</v>
      </c>
      <c r="E249" s="3">
        <v>0.22389999999999999</v>
      </c>
      <c r="F249" s="3">
        <v>4</v>
      </c>
      <c r="G249" s="3">
        <v>72</v>
      </c>
      <c r="H249" s="3">
        <v>76</v>
      </c>
    </row>
    <row r="250" spans="1:8" ht="15.75" customHeight="1" x14ac:dyDescent="0.25">
      <c r="A250" s="3">
        <v>248</v>
      </c>
      <c r="B250" s="3">
        <v>249</v>
      </c>
      <c r="C250" s="3">
        <v>0.1515</v>
      </c>
      <c r="D250" s="3">
        <v>0.86</v>
      </c>
      <c r="E250" s="3">
        <v>0.22389999999999999</v>
      </c>
      <c r="F250" s="3">
        <v>6</v>
      </c>
      <c r="G250" s="3">
        <v>130</v>
      </c>
      <c r="H250" s="3">
        <v>136</v>
      </c>
    </row>
    <row r="251" spans="1:8" ht="15.75" customHeight="1" x14ac:dyDescent="0.25">
      <c r="A251" s="3">
        <v>249</v>
      </c>
      <c r="B251" s="3">
        <v>250</v>
      </c>
      <c r="C251" s="3">
        <v>0.18179999999999999</v>
      </c>
      <c r="D251" s="3">
        <v>0.93</v>
      </c>
      <c r="E251" s="3">
        <v>0.1045</v>
      </c>
      <c r="F251" s="3">
        <v>1</v>
      </c>
      <c r="G251" s="3">
        <v>94</v>
      </c>
      <c r="H251" s="3">
        <v>95</v>
      </c>
    </row>
    <row r="252" spans="1:8" ht="15.75" customHeight="1" x14ac:dyDescent="0.25">
      <c r="A252" s="3">
        <v>250</v>
      </c>
      <c r="B252" s="3">
        <v>251</v>
      </c>
      <c r="C252" s="3">
        <v>0.2273</v>
      </c>
      <c r="D252" s="3">
        <v>0.93</v>
      </c>
      <c r="E252" s="3">
        <v>0</v>
      </c>
      <c r="F252" s="3">
        <v>0</v>
      </c>
      <c r="G252" s="3">
        <v>51</v>
      </c>
      <c r="H252" s="3">
        <v>51</v>
      </c>
    </row>
    <row r="253" spans="1:8" ht="15.75" customHeight="1" x14ac:dyDescent="0.25">
      <c r="A253" s="3">
        <v>251</v>
      </c>
      <c r="B253" s="3">
        <v>252</v>
      </c>
      <c r="C253" s="3">
        <v>0.1515</v>
      </c>
      <c r="D253" s="3">
        <v>0.93</v>
      </c>
      <c r="E253" s="3">
        <v>0.19400000000000001</v>
      </c>
      <c r="F253" s="3">
        <v>0</v>
      </c>
      <c r="G253" s="3">
        <v>32</v>
      </c>
      <c r="H253" s="3">
        <v>32</v>
      </c>
    </row>
    <row r="254" spans="1:8" ht="15.75" customHeight="1" x14ac:dyDescent="0.25">
      <c r="A254" s="3">
        <v>252</v>
      </c>
      <c r="B254" s="3">
        <v>253</v>
      </c>
      <c r="C254" s="3">
        <v>0.19700000000000001</v>
      </c>
      <c r="D254" s="3">
        <v>0.86</v>
      </c>
      <c r="E254" s="3">
        <v>8.9599999999999999E-2</v>
      </c>
      <c r="F254" s="3">
        <v>0</v>
      </c>
      <c r="G254" s="3">
        <v>20</v>
      </c>
      <c r="H254" s="3">
        <v>20</v>
      </c>
    </row>
    <row r="255" spans="1:8" ht="15.75" customHeight="1" x14ac:dyDescent="0.25">
      <c r="A255" s="3">
        <v>253</v>
      </c>
      <c r="B255" s="3">
        <v>254</v>
      </c>
      <c r="C255" s="3">
        <v>0.18179999999999999</v>
      </c>
      <c r="D255" s="3">
        <v>0.93</v>
      </c>
      <c r="E255" s="3">
        <v>0.1045</v>
      </c>
      <c r="F255" s="3">
        <v>1</v>
      </c>
      <c r="G255" s="3">
        <v>28</v>
      </c>
      <c r="H255" s="3">
        <v>29</v>
      </c>
    </row>
    <row r="256" spans="1:8" ht="15.75" customHeight="1" x14ac:dyDescent="0.25">
      <c r="A256" s="3">
        <v>254</v>
      </c>
      <c r="B256" s="3">
        <v>255</v>
      </c>
      <c r="C256" s="3">
        <v>0.19700000000000001</v>
      </c>
      <c r="D256" s="3">
        <v>0.93</v>
      </c>
      <c r="E256" s="3">
        <v>8.9599999999999999E-2</v>
      </c>
      <c r="F256" s="3">
        <v>1</v>
      </c>
      <c r="G256" s="3">
        <v>18</v>
      </c>
      <c r="H256" s="3">
        <v>19</v>
      </c>
    </row>
    <row r="257" spans="1:8" ht="15.75" customHeight="1" x14ac:dyDescent="0.25">
      <c r="A257" s="3">
        <v>255</v>
      </c>
      <c r="B257" s="3">
        <v>256</v>
      </c>
      <c r="C257" s="3">
        <v>0.19700000000000001</v>
      </c>
      <c r="D257" s="3">
        <v>0.86</v>
      </c>
      <c r="E257" s="3">
        <v>8.9599999999999999E-2</v>
      </c>
      <c r="F257" s="3">
        <v>0</v>
      </c>
      <c r="G257" s="3">
        <v>7</v>
      </c>
      <c r="H257" s="3">
        <v>7</v>
      </c>
    </row>
    <row r="258" spans="1:8" ht="15.75" customHeight="1" x14ac:dyDescent="0.25">
      <c r="A258" s="3">
        <v>256</v>
      </c>
      <c r="B258" s="3">
        <v>257</v>
      </c>
      <c r="C258" s="3">
        <v>0.18179999999999999</v>
      </c>
      <c r="D258" s="3">
        <v>0.86</v>
      </c>
      <c r="E258" s="3">
        <v>0.1045</v>
      </c>
      <c r="F258" s="3">
        <v>0</v>
      </c>
      <c r="G258" s="3">
        <v>6</v>
      </c>
      <c r="H258" s="3">
        <v>6</v>
      </c>
    </row>
    <row r="259" spans="1:8" ht="15.75" customHeight="1" x14ac:dyDescent="0.25">
      <c r="A259" s="3">
        <v>257</v>
      </c>
      <c r="B259" s="3">
        <v>258</v>
      </c>
      <c r="C259" s="3">
        <v>0.1515</v>
      </c>
      <c r="D259" s="3">
        <v>0.86</v>
      </c>
      <c r="E259" s="3">
        <v>0.1343</v>
      </c>
      <c r="F259" s="3">
        <v>0</v>
      </c>
      <c r="G259" s="3">
        <v>1</v>
      </c>
      <c r="H259" s="3">
        <v>1</v>
      </c>
    </row>
    <row r="260" spans="1:8" ht="15.75" customHeight="1" x14ac:dyDescent="0.25">
      <c r="A260" s="3">
        <v>258</v>
      </c>
      <c r="B260" s="3">
        <v>259</v>
      </c>
      <c r="C260" s="3">
        <v>0.1515</v>
      </c>
      <c r="D260" s="3">
        <v>0.86</v>
      </c>
      <c r="E260" s="3">
        <v>0.16420000000000001</v>
      </c>
      <c r="F260" s="3">
        <v>0</v>
      </c>
      <c r="G260" s="3">
        <v>5</v>
      </c>
      <c r="H260" s="3">
        <v>5</v>
      </c>
    </row>
    <row r="261" spans="1:8" ht="15.75" customHeight="1" x14ac:dyDescent="0.25">
      <c r="A261" s="3">
        <v>259</v>
      </c>
      <c r="B261" s="3">
        <v>260</v>
      </c>
      <c r="C261" s="3">
        <v>0.1515</v>
      </c>
      <c r="D261" s="3">
        <v>0.93</v>
      </c>
      <c r="E261" s="3">
        <v>0.1343</v>
      </c>
      <c r="F261" s="3">
        <v>0</v>
      </c>
      <c r="G261" s="3">
        <v>16</v>
      </c>
      <c r="H261" s="3">
        <v>16</v>
      </c>
    </row>
    <row r="262" spans="1:8" ht="15.75" customHeight="1" x14ac:dyDescent="0.25">
      <c r="A262" s="3">
        <v>260</v>
      </c>
      <c r="B262" s="3">
        <v>261</v>
      </c>
      <c r="C262" s="3">
        <v>0.1515</v>
      </c>
      <c r="D262" s="3">
        <v>0.69</v>
      </c>
      <c r="E262" s="3">
        <v>0.1343</v>
      </c>
      <c r="F262" s="3">
        <v>0</v>
      </c>
      <c r="G262" s="3">
        <v>54</v>
      </c>
      <c r="H262" s="3">
        <v>54</v>
      </c>
    </row>
    <row r="263" spans="1:8" ht="15.75" customHeight="1" x14ac:dyDescent="0.25">
      <c r="A263" s="3">
        <v>261</v>
      </c>
      <c r="B263" s="3">
        <v>262</v>
      </c>
      <c r="C263" s="3">
        <v>0.16669999999999999</v>
      </c>
      <c r="D263" s="3">
        <v>0.59</v>
      </c>
      <c r="E263" s="3">
        <v>0.16420000000000001</v>
      </c>
      <c r="F263" s="3">
        <v>3</v>
      </c>
      <c r="G263" s="3">
        <v>125</v>
      </c>
      <c r="H263" s="3">
        <v>128</v>
      </c>
    </row>
    <row r="264" spans="1:8" ht="15.75" customHeight="1" x14ac:dyDescent="0.25">
      <c r="A264" s="3">
        <v>262</v>
      </c>
      <c r="B264" s="3">
        <v>263</v>
      </c>
      <c r="C264" s="3">
        <v>0.13639999999999999</v>
      </c>
      <c r="D264" s="3">
        <v>0.59</v>
      </c>
      <c r="E264" s="3">
        <v>0.32840000000000003</v>
      </c>
      <c r="F264" s="3">
        <v>3</v>
      </c>
      <c r="G264" s="3">
        <v>78</v>
      </c>
      <c r="H264" s="3">
        <v>81</v>
      </c>
    </row>
    <row r="265" spans="1:8" ht="15.75" customHeight="1" x14ac:dyDescent="0.25">
      <c r="A265" s="3">
        <v>263</v>
      </c>
      <c r="B265" s="3">
        <v>264</v>
      </c>
      <c r="C265" s="3">
        <v>0.18179999999999999</v>
      </c>
      <c r="D265" s="3">
        <v>0.55000000000000004</v>
      </c>
      <c r="E265" s="3">
        <v>0.22389999999999999</v>
      </c>
      <c r="F265" s="3">
        <v>0</v>
      </c>
      <c r="G265" s="3">
        <v>39</v>
      </c>
      <c r="H265" s="3">
        <v>39</v>
      </c>
    </row>
    <row r="266" spans="1:8" ht="15.75" customHeight="1" x14ac:dyDescent="0.25">
      <c r="A266" s="3">
        <v>264</v>
      </c>
      <c r="B266" s="3">
        <v>265</v>
      </c>
      <c r="C266" s="3">
        <v>0.18179999999999999</v>
      </c>
      <c r="D266" s="3">
        <v>0.51</v>
      </c>
      <c r="E266" s="3">
        <v>0.3881</v>
      </c>
      <c r="F266" s="3">
        <v>3</v>
      </c>
      <c r="G266" s="3">
        <v>32</v>
      </c>
      <c r="H266" s="3">
        <v>35</v>
      </c>
    </row>
    <row r="267" spans="1:8" ht="15.75" customHeight="1" x14ac:dyDescent="0.25">
      <c r="A267" s="3">
        <v>265</v>
      </c>
      <c r="B267" s="3">
        <v>266</v>
      </c>
      <c r="C267" s="3">
        <v>0.1515</v>
      </c>
      <c r="D267" s="3">
        <v>0.47</v>
      </c>
      <c r="E267" s="3">
        <v>0.58209999999999995</v>
      </c>
      <c r="F267" s="3">
        <v>3</v>
      </c>
      <c r="G267" s="3">
        <v>52</v>
      </c>
      <c r="H267" s="3">
        <v>55</v>
      </c>
    </row>
    <row r="268" spans="1:8" ht="15.75" customHeight="1" x14ac:dyDescent="0.25">
      <c r="A268" s="3">
        <v>266</v>
      </c>
      <c r="B268" s="3">
        <v>267</v>
      </c>
      <c r="C268" s="3">
        <v>0.19700000000000001</v>
      </c>
      <c r="D268" s="3">
        <v>0.44</v>
      </c>
      <c r="E268" s="3">
        <v>0.35820000000000002</v>
      </c>
      <c r="F268" s="3">
        <v>0</v>
      </c>
      <c r="G268" s="3">
        <v>49</v>
      </c>
      <c r="H268" s="3">
        <v>49</v>
      </c>
    </row>
    <row r="269" spans="1:8" ht="15.75" customHeight="1" x14ac:dyDescent="0.25">
      <c r="A269" s="3">
        <v>267</v>
      </c>
      <c r="B269" s="3">
        <v>268</v>
      </c>
      <c r="C269" s="3">
        <v>0.18179999999999999</v>
      </c>
      <c r="D269" s="3">
        <v>0.47</v>
      </c>
      <c r="E269" s="3">
        <v>0.32840000000000003</v>
      </c>
      <c r="F269" s="3">
        <v>0</v>
      </c>
      <c r="G269" s="3">
        <v>44</v>
      </c>
      <c r="H269" s="3">
        <v>44</v>
      </c>
    </row>
    <row r="270" spans="1:8" ht="15.75" customHeight="1" x14ac:dyDescent="0.25">
      <c r="A270" s="3">
        <v>268</v>
      </c>
      <c r="B270" s="3">
        <v>269</v>
      </c>
      <c r="C270" s="3">
        <v>0.16669999999999999</v>
      </c>
      <c r="D270" s="3">
        <v>0.47</v>
      </c>
      <c r="E270" s="3">
        <v>0.41789999999999999</v>
      </c>
      <c r="F270" s="3">
        <v>1</v>
      </c>
      <c r="G270" s="3">
        <v>48</v>
      </c>
      <c r="H270" s="3">
        <v>49</v>
      </c>
    </row>
    <row r="271" spans="1:8" ht="15.75" customHeight="1" x14ac:dyDescent="0.25">
      <c r="A271" s="3">
        <v>269</v>
      </c>
      <c r="B271" s="3">
        <v>270</v>
      </c>
      <c r="C271" s="3">
        <v>0.19700000000000001</v>
      </c>
      <c r="D271" s="3">
        <v>0.44</v>
      </c>
      <c r="E271" s="3">
        <v>0.32840000000000003</v>
      </c>
      <c r="F271" s="3">
        <v>5</v>
      </c>
      <c r="G271" s="3">
        <v>63</v>
      </c>
      <c r="H271" s="3">
        <v>68</v>
      </c>
    </row>
    <row r="272" spans="1:8" ht="15.75" customHeight="1" x14ac:dyDescent="0.25">
      <c r="A272" s="3">
        <v>270</v>
      </c>
      <c r="B272" s="3">
        <v>271</v>
      </c>
      <c r="C272" s="3">
        <v>0.18179999999999999</v>
      </c>
      <c r="D272" s="3">
        <v>0.47</v>
      </c>
      <c r="E272" s="3">
        <v>0.35820000000000002</v>
      </c>
      <c r="F272" s="3">
        <v>0</v>
      </c>
      <c r="G272" s="3">
        <v>139</v>
      </c>
      <c r="H272" s="3">
        <v>139</v>
      </c>
    </row>
    <row r="273" spans="1:8" ht="15.75" customHeight="1" x14ac:dyDescent="0.25">
      <c r="A273" s="3">
        <v>271</v>
      </c>
      <c r="B273" s="3">
        <v>272</v>
      </c>
      <c r="C273" s="3">
        <v>0.1515</v>
      </c>
      <c r="D273" s="3">
        <v>0.47</v>
      </c>
      <c r="E273" s="3">
        <v>0.52239999999999998</v>
      </c>
      <c r="F273" s="3">
        <v>2</v>
      </c>
      <c r="G273" s="3">
        <v>135</v>
      </c>
      <c r="H273" s="3">
        <v>137</v>
      </c>
    </row>
    <row r="274" spans="1:8" ht="15.75" customHeight="1" x14ac:dyDescent="0.25">
      <c r="A274" s="3">
        <v>272</v>
      </c>
      <c r="B274" s="3">
        <v>273</v>
      </c>
      <c r="C274" s="3">
        <v>0.1515</v>
      </c>
      <c r="D274" s="3">
        <v>0.47</v>
      </c>
      <c r="E274" s="3">
        <v>0.41789999999999999</v>
      </c>
      <c r="F274" s="3">
        <v>1</v>
      </c>
      <c r="G274" s="3">
        <v>82</v>
      </c>
      <c r="H274" s="3">
        <v>83</v>
      </c>
    </row>
    <row r="275" spans="1:8" ht="15.75" customHeight="1" x14ac:dyDescent="0.25">
      <c r="A275" s="3">
        <v>273</v>
      </c>
      <c r="B275" s="3">
        <v>274</v>
      </c>
      <c r="C275" s="3">
        <v>0.13639999999999999</v>
      </c>
      <c r="D275" s="3">
        <v>0.5</v>
      </c>
      <c r="E275" s="3">
        <v>0.32840000000000003</v>
      </c>
      <c r="F275" s="3">
        <v>2</v>
      </c>
      <c r="G275" s="3">
        <v>54</v>
      </c>
      <c r="H275" s="3">
        <v>56</v>
      </c>
    </row>
    <row r="276" spans="1:8" ht="15.75" customHeight="1" x14ac:dyDescent="0.25">
      <c r="A276" s="3">
        <v>274</v>
      </c>
      <c r="B276" s="3">
        <v>275</v>
      </c>
      <c r="C276" s="3">
        <v>0.13639999999999999</v>
      </c>
      <c r="D276" s="3">
        <v>0.55000000000000004</v>
      </c>
      <c r="E276" s="3">
        <v>0.32840000000000003</v>
      </c>
      <c r="F276" s="3">
        <v>0</v>
      </c>
      <c r="G276" s="3">
        <v>57</v>
      </c>
      <c r="H276" s="3">
        <v>57</v>
      </c>
    </row>
    <row r="277" spans="1:8" ht="15.75" customHeight="1" x14ac:dyDescent="0.25">
      <c r="A277" s="3">
        <v>275</v>
      </c>
      <c r="B277" s="3">
        <v>276</v>
      </c>
      <c r="C277" s="3">
        <v>0.1212</v>
      </c>
      <c r="D277" s="3">
        <v>0.55000000000000004</v>
      </c>
      <c r="E277" s="3">
        <v>0.44779999999999998</v>
      </c>
      <c r="F277" s="3">
        <v>1</v>
      </c>
      <c r="G277" s="3">
        <v>32</v>
      </c>
      <c r="H277" s="3">
        <v>33</v>
      </c>
    </row>
    <row r="278" spans="1:8" ht="15.75" customHeight="1" x14ac:dyDescent="0.25">
      <c r="A278" s="3">
        <v>276</v>
      </c>
      <c r="B278" s="3">
        <v>277</v>
      </c>
      <c r="C278" s="3">
        <v>0.1061</v>
      </c>
      <c r="D278" s="3">
        <v>0.59</v>
      </c>
      <c r="E278" s="3">
        <v>0.41789999999999999</v>
      </c>
      <c r="F278" s="3">
        <v>1</v>
      </c>
      <c r="G278" s="3">
        <v>19</v>
      </c>
      <c r="H278" s="3">
        <v>20</v>
      </c>
    </row>
    <row r="279" spans="1:8" ht="15.75" customHeight="1" x14ac:dyDescent="0.25">
      <c r="A279" s="3">
        <v>277</v>
      </c>
      <c r="B279" s="3">
        <v>278</v>
      </c>
      <c r="C279" s="3">
        <v>0.1212</v>
      </c>
      <c r="D279" s="3">
        <v>0.59</v>
      </c>
      <c r="E279" s="3">
        <v>0.28360000000000002</v>
      </c>
      <c r="F279" s="3">
        <v>1</v>
      </c>
      <c r="G279" s="3">
        <v>6</v>
      </c>
      <c r="H279" s="3">
        <v>7</v>
      </c>
    </row>
    <row r="280" spans="1:8" ht="15.75" customHeight="1" x14ac:dyDescent="0.25">
      <c r="A280" s="3">
        <v>278</v>
      </c>
      <c r="B280" s="3">
        <v>279</v>
      </c>
      <c r="C280" s="3">
        <v>0.1212</v>
      </c>
      <c r="D280" s="3">
        <v>0.5</v>
      </c>
      <c r="E280" s="3">
        <v>0.28360000000000002</v>
      </c>
      <c r="F280" s="3">
        <v>0</v>
      </c>
      <c r="G280" s="3">
        <v>2</v>
      </c>
      <c r="H280" s="3">
        <v>2</v>
      </c>
    </row>
    <row r="281" spans="1:8" ht="15.75" customHeight="1" x14ac:dyDescent="0.25">
      <c r="A281" s="3">
        <v>279</v>
      </c>
      <c r="B281" s="3">
        <v>280</v>
      </c>
      <c r="C281" s="3">
        <v>0.1212</v>
      </c>
      <c r="D281" s="3">
        <v>0.5</v>
      </c>
      <c r="E281" s="3">
        <v>0.35820000000000002</v>
      </c>
      <c r="F281" s="3">
        <v>0</v>
      </c>
      <c r="G281" s="3">
        <v>2</v>
      </c>
      <c r="H281" s="3">
        <v>2</v>
      </c>
    </row>
    <row r="282" spans="1:8" ht="15.75" customHeight="1" x14ac:dyDescent="0.25">
      <c r="A282" s="3">
        <v>280</v>
      </c>
      <c r="B282" s="3">
        <v>281</v>
      </c>
      <c r="C282" s="3">
        <v>0.1212</v>
      </c>
      <c r="D282" s="3">
        <v>0.5</v>
      </c>
      <c r="E282" s="3">
        <v>0.32840000000000003</v>
      </c>
      <c r="F282" s="3">
        <v>0</v>
      </c>
      <c r="G282" s="3">
        <v>3</v>
      </c>
      <c r="H282" s="3">
        <v>3</v>
      </c>
    </row>
    <row r="283" spans="1:8" ht="15.75" customHeight="1" x14ac:dyDescent="0.25">
      <c r="A283" s="3">
        <v>281</v>
      </c>
      <c r="B283" s="3">
        <v>282</v>
      </c>
      <c r="C283" s="3">
        <v>0.1212</v>
      </c>
      <c r="D283" s="3">
        <v>0.5</v>
      </c>
      <c r="E283" s="3">
        <v>0.25369999999999998</v>
      </c>
      <c r="F283" s="3">
        <v>0</v>
      </c>
      <c r="G283" s="3">
        <v>4</v>
      </c>
      <c r="H283" s="3">
        <v>4</v>
      </c>
    </row>
    <row r="284" spans="1:8" ht="15.75" customHeight="1" x14ac:dyDescent="0.25">
      <c r="A284" s="3">
        <v>282</v>
      </c>
      <c r="B284" s="3">
        <v>283</v>
      </c>
      <c r="C284" s="3">
        <v>0.1212</v>
      </c>
      <c r="D284" s="3">
        <v>0.5</v>
      </c>
      <c r="E284" s="3">
        <v>0.29849999999999999</v>
      </c>
      <c r="F284" s="3">
        <v>0</v>
      </c>
      <c r="G284" s="3">
        <v>3</v>
      </c>
      <c r="H284" s="3">
        <v>3</v>
      </c>
    </row>
    <row r="285" spans="1:8" ht="15.75" customHeight="1" x14ac:dyDescent="0.25">
      <c r="A285" s="3">
        <v>283</v>
      </c>
      <c r="B285" s="3">
        <v>284</v>
      </c>
      <c r="C285" s="3">
        <v>0.1515</v>
      </c>
      <c r="D285" s="3">
        <v>0.54</v>
      </c>
      <c r="E285" s="3">
        <v>0.1343</v>
      </c>
      <c r="F285" s="3">
        <v>0</v>
      </c>
      <c r="G285" s="3">
        <v>28</v>
      </c>
      <c r="H285" s="3">
        <v>28</v>
      </c>
    </row>
    <row r="286" spans="1:8" ht="15.75" customHeight="1" x14ac:dyDescent="0.25">
      <c r="A286" s="3">
        <v>284</v>
      </c>
      <c r="B286" s="3">
        <v>285</v>
      </c>
      <c r="C286" s="3">
        <v>0.1515</v>
      </c>
      <c r="D286" s="3">
        <v>0.54</v>
      </c>
      <c r="E286" s="3">
        <v>0.1343</v>
      </c>
      <c r="F286" s="3">
        <v>0</v>
      </c>
      <c r="G286" s="3">
        <v>72</v>
      </c>
      <c r="H286" s="3">
        <v>72</v>
      </c>
    </row>
    <row r="287" spans="1:8" ht="15.75" customHeight="1" x14ac:dyDescent="0.25">
      <c r="A287" s="3">
        <v>285</v>
      </c>
      <c r="B287" s="3">
        <v>286</v>
      </c>
      <c r="C287" s="3">
        <v>0.13639999999999999</v>
      </c>
      <c r="D287" s="3">
        <v>0.5</v>
      </c>
      <c r="E287" s="3">
        <v>0.19400000000000001</v>
      </c>
      <c r="F287" s="3">
        <v>5</v>
      </c>
      <c r="G287" s="3">
        <v>197</v>
      </c>
      <c r="H287" s="3">
        <v>202</v>
      </c>
    </row>
    <row r="288" spans="1:8" ht="15.75" customHeight="1" x14ac:dyDescent="0.25">
      <c r="A288" s="3">
        <v>286</v>
      </c>
      <c r="B288" s="3">
        <v>287</v>
      </c>
      <c r="C288" s="3">
        <v>0.1212</v>
      </c>
      <c r="D288" s="3">
        <v>0.5</v>
      </c>
      <c r="E288" s="3">
        <v>0.32840000000000003</v>
      </c>
      <c r="F288" s="3">
        <v>2</v>
      </c>
      <c r="G288" s="3">
        <v>137</v>
      </c>
      <c r="H288" s="3">
        <v>139</v>
      </c>
    </row>
    <row r="289" spans="1:8" ht="15.75" customHeight="1" x14ac:dyDescent="0.25">
      <c r="A289" s="3">
        <v>287</v>
      </c>
      <c r="B289" s="3">
        <v>288</v>
      </c>
      <c r="C289" s="3">
        <v>0.13639999999999999</v>
      </c>
      <c r="D289" s="3">
        <v>0.5</v>
      </c>
      <c r="E289" s="3">
        <v>0.35820000000000002</v>
      </c>
      <c r="F289" s="3">
        <v>2</v>
      </c>
      <c r="G289" s="3">
        <v>36</v>
      </c>
      <c r="H289" s="3">
        <v>38</v>
      </c>
    </row>
    <row r="290" spans="1:8" ht="15.75" customHeight="1" x14ac:dyDescent="0.25">
      <c r="A290" s="3">
        <v>288</v>
      </c>
      <c r="B290" s="3">
        <v>289</v>
      </c>
      <c r="C290" s="3">
        <v>0.16669999999999999</v>
      </c>
      <c r="D290" s="3">
        <v>0.44</v>
      </c>
      <c r="E290" s="3">
        <v>0.44779999999999998</v>
      </c>
      <c r="F290" s="3">
        <v>4</v>
      </c>
      <c r="G290" s="3">
        <v>33</v>
      </c>
      <c r="H290" s="3">
        <v>37</v>
      </c>
    </row>
    <row r="291" spans="1:8" ht="15.75" customHeight="1" x14ac:dyDescent="0.25">
      <c r="A291" s="3">
        <v>289</v>
      </c>
      <c r="B291" s="3">
        <v>290</v>
      </c>
      <c r="C291" s="3">
        <v>0.16669999999999999</v>
      </c>
      <c r="D291" s="3">
        <v>0.44</v>
      </c>
      <c r="E291" s="3">
        <v>0.41789999999999999</v>
      </c>
      <c r="F291" s="3">
        <v>3</v>
      </c>
      <c r="G291" s="3">
        <v>49</v>
      </c>
      <c r="H291" s="3">
        <v>52</v>
      </c>
    </row>
    <row r="292" spans="1:8" ht="15.75" customHeight="1" x14ac:dyDescent="0.25">
      <c r="A292" s="3">
        <v>290</v>
      </c>
      <c r="B292" s="3">
        <v>291</v>
      </c>
      <c r="C292" s="3">
        <v>0.19700000000000001</v>
      </c>
      <c r="D292" s="3">
        <v>0.41</v>
      </c>
      <c r="E292" s="3">
        <v>0.44779999999999998</v>
      </c>
      <c r="F292" s="3">
        <v>2</v>
      </c>
      <c r="G292" s="3">
        <v>81</v>
      </c>
      <c r="H292" s="3">
        <v>83</v>
      </c>
    </row>
    <row r="293" spans="1:8" ht="15.75" customHeight="1" x14ac:dyDescent="0.25">
      <c r="A293" s="3">
        <v>291</v>
      </c>
      <c r="B293" s="3">
        <v>292</v>
      </c>
      <c r="C293" s="3">
        <v>0.19700000000000001</v>
      </c>
      <c r="D293" s="3">
        <v>0.41</v>
      </c>
      <c r="E293" s="3">
        <v>0.3881</v>
      </c>
      <c r="F293" s="3">
        <v>3</v>
      </c>
      <c r="G293" s="3">
        <v>39</v>
      </c>
      <c r="H293" s="3">
        <v>42</v>
      </c>
    </row>
    <row r="294" spans="1:8" ht="15.75" customHeight="1" x14ac:dyDescent="0.25">
      <c r="A294" s="3">
        <v>292</v>
      </c>
      <c r="B294" s="3">
        <v>293</v>
      </c>
      <c r="C294" s="3">
        <v>0.21210000000000001</v>
      </c>
      <c r="D294" s="3">
        <v>0.38</v>
      </c>
      <c r="E294" s="3">
        <v>0.29849999999999999</v>
      </c>
      <c r="F294" s="3">
        <v>5</v>
      </c>
      <c r="G294" s="3">
        <v>55</v>
      </c>
      <c r="H294" s="3">
        <v>60</v>
      </c>
    </row>
    <row r="295" spans="1:8" ht="15.75" customHeight="1" x14ac:dyDescent="0.25">
      <c r="A295" s="3">
        <v>293</v>
      </c>
      <c r="B295" s="3">
        <v>294</v>
      </c>
      <c r="C295" s="3">
        <v>0.21210000000000001</v>
      </c>
      <c r="D295" s="3">
        <v>0.38</v>
      </c>
      <c r="E295" s="3">
        <v>0.35820000000000002</v>
      </c>
      <c r="F295" s="3">
        <v>2</v>
      </c>
      <c r="G295" s="3">
        <v>76</v>
      </c>
      <c r="H295" s="3">
        <v>78</v>
      </c>
    </row>
    <row r="296" spans="1:8" ht="15.75" customHeight="1" x14ac:dyDescent="0.25">
      <c r="A296" s="3">
        <v>294</v>
      </c>
      <c r="B296" s="3">
        <v>295</v>
      </c>
      <c r="C296" s="3">
        <v>0.18179999999999999</v>
      </c>
      <c r="D296" s="3">
        <v>0.4</v>
      </c>
      <c r="E296" s="3">
        <v>0.28360000000000002</v>
      </c>
      <c r="F296" s="3">
        <v>4</v>
      </c>
      <c r="G296" s="3">
        <v>158</v>
      </c>
      <c r="H296" s="3">
        <v>162</v>
      </c>
    </row>
    <row r="297" spans="1:8" ht="15.75" customHeight="1" x14ac:dyDescent="0.25">
      <c r="A297" s="3">
        <v>295</v>
      </c>
      <c r="B297" s="3">
        <v>296</v>
      </c>
      <c r="C297" s="3">
        <v>0.18179999999999999</v>
      </c>
      <c r="D297" s="3">
        <v>0.4</v>
      </c>
      <c r="E297" s="3">
        <v>0.32840000000000003</v>
      </c>
      <c r="F297" s="3">
        <v>3</v>
      </c>
      <c r="G297" s="3">
        <v>141</v>
      </c>
      <c r="H297" s="3">
        <v>144</v>
      </c>
    </row>
    <row r="298" spans="1:8" ht="15.75" customHeight="1" x14ac:dyDescent="0.25">
      <c r="A298" s="3">
        <v>296</v>
      </c>
      <c r="B298" s="3">
        <v>297</v>
      </c>
      <c r="C298" s="3">
        <v>0.1515</v>
      </c>
      <c r="D298" s="3">
        <v>0.47</v>
      </c>
      <c r="E298" s="3">
        <v>0.25369999999999998</v>
      </c>
      <c r="F298" s="3">
        <v>1</v>
      </c>
      <c r="G298" s="3">
        <v>98</v>
      </c>
      <c r="H298" s="3">
        <v>99</v>
      </c>
    </row>
    <row r="299" spans="1:8" ht="15.75" customHeight="1" x14ac:dyDescent="0.25">
      <c r="A299" s="3">
        <v>297</v>
      </c>
      <c r="B299" s="3">
        <v>298</v>
      </c>
      <c r="C299" s="3">
        <v>0.1515</v>
      </c>
      <c r="D299" s="3">
        <v>0.47</v>
      </c>
      <c r="E299" s="3">
        <v>0.22389999999999999</v>
      </c>
      <c r="F299" s="3">
        <v>0</v>
      </c>
      <c r="G299" s="3">
        <v>64</v>
      </c>
      <c r="H299" s="3">
        <v>64</v>
      </c>
    </row>
    <row r="300" spans="1:8" ht="15.75" customHeight="1" x14ac:dyDescent="0.25">
      <c r="A300" s="3">
        <v>298</v>
      </c>
      <c r="B300" s="3">
        <v>299</v>
      </c>
      <c r="C300" s="3">
        <v>0.1212</v>
      </c>
      <c r="D300" s="3">
        <v>0.46</v>
      </c>
      <c r="E300" s="3">
        <v>0.29849999999999999</v>
      </c>
      <c r="F300" s="3">
        <v>0</v>
      </c>
      <c r="G300" s="3">
        <v>40</v>
      </c>
      <c r="H300" s="3">
        <v>40</v>
      </c>
    </row>
    <row r="301" spans="1:8" ht="15.75" customHeight="1" x14ac:dyDescent="0.25">
      <c r="A301" s="3">
        <v>299</v>
      </c>
      <c r="B301" s="3">
        <v>300</v>
      </c>
      <c r="C301" s="3">
        <v>0.1212</v>
      </c>
      <c r="D301" s="3">
        <v>0.46</v>
      </c>
      <c r="E301" s="3">
        <v>0.32840000000000003</v>
      </c>
      <c r="F301" s="3">
        <v>0</v>
      </c>
      <c r="G301" s="3">
        <v>30</v>
      </c>
      <c r="H301" s="3">
        <v>30</v>
      </c>
    </row>
    <row r="302" spans="1:8" ht="15.75" customHeight="1" x14ac:dyDescent="0.25">
      <c r="A302" s="3">
        <v>300</v>
      </c>
      <c r="B302" s="3">
        <v>301</v>
      </c>
      <c r="C302" s="3">
        <v>0.13639999999999999</v>
      </c>
      <c r="D302" s="3">
        <v>0.5</v>
      </c>
      <c r="E302" s="3">
        <v>0.19400000000000001</v>
      </c>
      <c r="F302" s="3">
        <v>1</v>
      </c>
      <c r="G302" s="3">
        <v>14</v>
      </c>
      <c r="H302" s="3">
        <v>15</v>
      </c>
    </row>
    <row r="303" spans="1:8" ht="15.75" customHeight="1" x14ac:dyDescent="0.25">
      <c r="A303" s="3">
        <v>301</v>
      </c>
      <c r="B303" s="3">
        <v>302</v>
      </c>
      <c r="C303" s="3">
        <v>0.13639999999999999</v>
      </c>
      <c r="D303" s="3">
        <v>0.5</v>
      </c>
      <c r="E303" s="3">
        <v>0.19400000000000001</v>
      </c>
      <c r="F303" s="3">
        <v>0</v>
      </c>
      <c r="G303" s="3">
        <v>14</v>
      </c>
      <c r="H303" s="3">
        <v>14</v>
      </c>
    </row>
    <row r="304" spans="1:8" ht="15.75" customHeight="1" x14ac:dyDescent="0.25">
      <c r="A304" s="3">
        <v>302</v>
      </c>
      <c r="B304" s="3">
        <v>303</v>
      </c>
      <c r="C304" s="3">
        <v>0.1212</v>
      </c>
      <c r="D304" s="3">
        <v>0.54</v>
      </c>
      <c r="E304" s="3">
        <v>0.16420000000000001</v>
      </c>
      <c r="F304" s="3">
        <v>0</v>
      </c>
      <c r="G304" s="3">
        <v>5</v>
      </c>
      <c r="H304" s="3">
        <v>5</v>
      </c>
    </row>
    <row r="305" spans="1:8" ht="15.75" customHeight="1" x14ac:dyDescent="0.25">
      <c r="A305" s="3">
        <v>303</v>
      </c>
      <c r="B305" s="3">
        <v>304</v>
      </c>
      <c r="C305" s="3">
        <v>0.1212</v>
      </c>
      <c r="D305" s="3">
        <v>0.54</v>
      </c>
      <c r="E305" s="3">
        <v>0.1343</v>
      </c>
      <c r="F305" s="3">
        <v>0</v>
      </c>
      <c r="G305" s="3">
        <v>1</v>
      </c>
      <c r="H305" s="3">
        <v>1</v>
      </c>
    </row>
    <row r="306" spans="1:8" ht="15.75" customHeight="1" x14ac:dyDescent="0.25">
      <c r="A306" s="3">
        <v>304</v>
      </c>
      <c r="B306" s="3">
        <v>305</v>
      </c>
      <c r="C306" s="3">
        <v>0.13639999999999999</v>
      </c>
      <c r="D306" s="3">
        <v>0.54</v>
      </c>
      <c r="E306" s="3">
        <v>0.1045</v>
      </c>
      <c r="F306" s="3">
        <v>0</v>
      </c>
      <c r="G306" s="3">
        <v>1</v>
      </c>
      <c r="H306" s="3">
        <v>1</v>
      </c>
    </row>
    <row r="307" spans="1:8" ht="15.75" customHeight="1" x14ac:dyDescent="0.25">
      <c r="A307" s="3">
        <v>305</v>
      </c>
      <c r="B307" s="3">
        <v>306</v>
      </c>
      <c r="C307" s="3">
        <v>0.13639999999999999</v>
      </c>
      <c r="D307" s="3">
        <v>0.54</v>
      </c>
      <c r="E307" s="3">
        <v>8.9599999999999999E-2</v>
      </c>
      <c r="F307" s="3">
        <v>0</v>
      </c>
      <c r="G307" s="3">
        <v>8</v>
      </c>
      <c r="H307" s="3">
        <v>8</v>
      </c>
    </row>
    <row r="308" spans="1:8" ht="15.75" customHeight="1" x14ac:dyDescent="0.25">
      <c r="A308" s="3">
        <v>306</v>
      </c>
      <c r="B308" s="3">
        <v>307</v>
      </c>
      <c r="C308" s="3">
        <v>0.18179999999999999</v>
      </c>
      <c r="D308" s="3">
        <v>0.54</v>
      </c>
      <c r="E308" s="3">
        <v>0</v>
      </c>
      <c r="F308" s="3">
        <v>0</v>
      </c>
      <c r="G308" s="3">
        <v>17</v>
      </c>
      <c r="H308" s="3">
        <v>17</v>
      </c>
    </row>
    <row r="309" spans="1:8" ht="15.75" customHeight="1" x14ac:dyDescent="0.25">
      <c r="A309" s="3">
        <v>307</v>
      </c>
      <c r="B309" s="3">
        <v>308</v>
      </c>
      <c r="C309" s="3">
        <v>0.1212</v>
      </c>
      <c r="D309" s="3">
        <v>0.74</v>
      </c>
      <c r="E309" s="3">
        <v>0.16420000000000001</v>
      </c>
      <c r="F309" s="3">
        <v>0</v>
      </c>
      <c r="G309" s="3">
        <v>70</v>
      </c>
      <c r="H309" s="3">
        <v>70</v>
      </c>
    </row>
    <row r="310" spans="1:8" ht="15.75" customHeight="1" x14ac:dyDescent="0.25">
      <c r="A310" s="3">
        <v>308</v>
      </c>
      <c r="B310" s="3">
        <v>309</v>
      </c>
      <c r="C310" s="3">
        <v>0.16669999999999999</v>
      </c>
      <c r="D310" s="3">
        <v>0.68</v>
      </c>
      <c r="E310" s="3">
        <v>0</v>
      </c>
      <c r="F310" s="3">
        <v>2</v>
      </c>
      <c r="G310" s="3">
        <v>156</v>
      </c>
      <c r="H310" s="3">
        <v>158</v>
      </c>
    </row>
    <row r="311" spans="1:8" ht="15.75" customHeight="1" x14ac:dyDescent="0.25">
      <c r="A311" s="3">
        <v>309</v>
      </c>
      <c r="B311" s="3">
        <v>310</v>
      </c>
      <c r="C311" s="3">
        <v>0.1515</v>
      </c>
      <c r="D311" s="3">
        <v>0.69</v>
      </c>
      <c r="E311" s="3">
        <v>0.1343</v>
      </c>
      <c r="F311" s="3">
        <v>0</v>
      </c>
      <c r="G311" s="3">
        <v>117</v>
      </c>
      <c r="H311" s="3">
        <v>117</v>
      </c>
    </row>
    <row r="312" spans="1:8" ht="15.75" customHeight="1" x14ac:dyDescent="0.25">
      <c r="A312" s="3">
        <v>310</v>
      </c>
      <c r="B312" s="3">
        <v>311</v>
      </c>
      <c r="C312" s="3">
        <v>0.18179999999999999</v>
      </c>
      <c r="D312" s="3">
        <v>0.55000000000000004</v>
      </c>
      <c r="E312" s="3">
        <v>0.19400000000000001</v>
      </c>
      <c r="F312" s="3">
        <v>4</v>
      </c>
      <c r="G312" s="3">
        <v>40</v>
      </c>
      <c r="H312" s="3">
        <v>44</v>
      </c>
    </row>
    <row r="313" spans="1:8" ht="15.75" customHeight="1" x14ac:dyDescent="0.25">
      <c r="A313" s="3">
        <v>311</v>
      </c>
      <c r="B313" s="3">
        <v>312</v>
      </c>
      <c r="C313" s="3">
        <v>0.16669999999999999</v>
      </c>
      <c r="D313" s="3">
        <v>0.51</v>
      </c>
      <c r="E313" s="3">
        <v>0.28360000000000002</v>
      </c>
      <c r="F313" s="3">
        <v>6</v>
      </c>
      <c r="G313" s="3">
        <v>47</v>
      </c>
      <c r="H313" s="3">
        <v>53</v>
      </c>
    </row>
    <row r="314" spans="1:8" ht="15.75" customHeight="1" x14ac:dyDescent="0.25">
      <c r="A314" s="3">
        <v>312</v>
      </c>
      <c r="B314" s="3">
        <v>313</v>
      </c>
      <c r="C314" s="3">
        <v>0.19700000000000001</v>
      </c>
      <c r="D314" s="3">
        <v>0.44</v>
      </c>
      <c r="E314" s="3">
        <v>0.25369999999999998</v>
      </c>
      <c r="F314" s="3">
        <v>2</v>
      </c>
      <c r="G314" s="3">
        <v>59</v>
      </c>
      <c r="H314" s="3">
        <v>61</v>
      </c>
    </row>
    <row r="315" spans="1:8" ht="15.75" customHeight="1" x14ac:dyDescent="0.25">
      <c r="A315" s="3">
        <v>313</v>
      </c>
      <c r="B315" s="3">
        <v>314</v>
      </c>
      <c r="C315" s="3">
        <v>0.19700000000000001</v>
      </c>
      <c r="D315" s="3">
        <v>0.37</v>
      </c>
      <c r="E315" s="3">
        <v>0.3881</v>
      </c>
      <c r="F315" s="3">
        <v>4</v>
      </c>
      <c r="G315" s="3">
        <v>73</v>
      </c>
      <c r="H315" s="3">
        <v>77</v>
      </c>
    </row>
    <row r="316" spans="1:8" ht="15.75" customHeight="1" x14ac:dyDescent="0.25">
      <c r="A316" s="3">
        <v>314</v>
      </c>
      <c r="B316" s="3">
        <v>315</v>
      </c>
      <c r="C316" s="3">
        <v>0.21210000000000001</v>
      </c>
      <c r="D316" s="3">
        <v>0.41</v>
      </c>
      <c r="E316" s="3">
        <v>0.28360000000000002</v>
      </c>
      <c r="F316" s="3">
        <v>5</v>
      </c>
      <c r="G316" s="3">
        <v>59</v>
      </c>
      <c r="H316" s="3">
        <v>64</v>
      </c>
    </row>
    <row r="317" spans="1:8" ht="15.75" customHeight="1" x14ac:dyDescent="0.25">
      <c r="A317" s="3">
        <v>315</v>
      </c>
      <c r="B317" s="3">
        <v>316</v>
      </c>
      <c r="C317" s="3">
        <v>0.2424</v>
      </c>
      <c r="D317" s="3">
        <v>0.38</v>
      </c>
      <c r="E317" s="3">
        <v>0.16420000000000001</v>
      </c>
      <c r="F317" s="3">
        <v>9</v>
      </c>
      <c r="G317" s="3">
        <v>59</v>
      </c>
      <c r="H317" s="3">
        <v>68</v>
      </c>
    </row>
    <row r="318" spans="1:8" ht="15.75" customHeight="1" x14ac:dyDescent="0.25">
      <c r="A318" s="3">
        <v>316</v>
      </c>
      <c r="B318" s="3">
        <v>317</v>
      </c>
      <c r="C318" s="3">
        <v>0.2424</v>
      </c>
      <c r="D318" s="3">
        <v>0.41</v>
      </c>
      <c r="E318" s="3">
        <v>0.1045</v>
      </c>
      <c r="F318" s="3">
        <v>3</v>
      </c>
      <c r="G318" s="3">
        <v>87</v>
      </c>
      <c r="H318" s="3">
        <v>90</v>
      </c>
    </row>
    <row r="319" spans="1:8" ht="15.75" customHeight="1" x14ac:dyDescent="0.25">
      <c r="A319" s="3">
        <v>317</v>
      </c>
      <c r="B319" s="3">
        <v>318</v>
      </c>
      <c r="C319" s="3">
        <v>0.2273</v>
      </c>
      <c r="D319" s="3">
        <v>0.41</v>
      </c>
      <c r="E319" s="3">
        <v>0.16420000000000001</v>
      </c>
      <c r="F319" s="3">
        <v>4</v>
      </c>
      <c r="G319" s="3">
        <v>155</v>
      </c>
      <c r="H319" s="3">
        <v>159</v>
      </c>
    </row>
    <row r="320" spans="1:8" ht="15.75" customHeight="1" x14ac:dyDescent="0.25">
      <c r="A320" s="3">
        <v>318</v>
      </c>
      <c r="B320" s="3">
        <v>319</v>
      </c>
      <c r="C320" s="3">
        <v>0.2576</v>
      </c>
      <c r="D320" s="3">
        <v>0.47</v>
      </c>
      <c r="E320" s="3">
        <v>0</v>
      </c>
      <c r="F320" s="3">
        <v>5</v>
      </c>
      <c r="G320" s="3">
        <v>134</v>
      </c>
      <c r="H320" s="3">
        <v>139</v>
      </c>
    </row>
    <row r="321" spans="1:8" ht="15.75" customHeight="1" x14ac:dyDescent="0.25">
      <c r="A321" s="3">
        <v>319</v>
      </c>
      <c r="B321" s="3">
        <v>320</v>
      </c>
      <c r="C321" s="3">
        <v>0.19700000000000001</v>
      </c>
      <c r="D321" s="3">
        <v>0.59</v>
      </c>
      <c r="E321" s="3">
        <v>8.9599999999999999E-2</v>
      </c>
      <c r="F321" s="3">
        <v>3</v>
      </c>
      <c r="G321" s="3">
        <v>89</v>
      </c>
      <c r="H321" s="3">
        <v>92</v>
      </c>
    </row>
    <row r="322" spans="1:8" ht="15.75" customHeight="1" x14ac:dyDescent="0.25">
      <c r="A322" s="3">
        <v>320</v>
      </c>
      <c r="B322" s="3">
        <v>321</v>
      </c>
      <c r="C322" s="3">
        <v>0.2424</v>
      </c>
      <c r="D322" s="3">
        <v>0.59</v>
      </c>
      <c r="E322" s="3">
        <v>0</v>
      </c>
      <c r="F322" s="3">
        <v>0</v>
      </c>
      <c r="G322" s="3">
        <v>68</v>
      </c>
      <c r="H322" s="3">
        <v>68</v>
      </c>
    </row>
    <row r="323" spans="1:8" ht="15.75" customHeight="1" x14ac:dyDescent="0.25">
      <c r="A323" s="3">
        <v>321</v>
      </c>
      <c r="B323" s="3">
        <v>322</v>
      </c>
      <c r="C323" s="3">
        <v>0.2273</v>
      </c>
      <c r="D323" s="3">
        <v>0.69</v>
      </c>
      <c r="E323" s="3">
        <v>0</v>
      </c>
      <c r="F323" s="3">
        <v>4</v>
      </c>
      <c r="G323" s="3">
        <v>48</v>
      </c>
      <c r="H323" s="3">
        <v>52</v>
      </c>
    </row>
    <row r="324" spans="1:8" ht="15.75" customHeight="1" x14ac:dyDescent="0.25">
      <c r="A324" s="3">
        <v>322</v>
      </c>
      <c r="B324" s="3">
        <v>323</v>
      </c>
      <c r="C324" s="3">
        <v>0.2273</v>
      </c>
      <c r="D324" s="3">
        <v>0.69</v>
      </c>
      <c r="E324" s="3">
        <v>0</v>
      </c>
      <c r="F324" s="3">
        <v>2</v>
      </c>
      <c r="G324" s="3">
        <v>34</v>
      </c>
      <c r="H324" s="3">
        <v>36</v>
      </c>
    </row>
    <row r="325" spans="1:8" ht="15.75" customHeight="1" x14ac:dyDescent="0.25">
      <c r="A325" s="3">
        <v>323</v>
      </c>
      <c r="B325" s="3">
        <v>324</v>
      </c>
      <c r="C325" s="3">
        <v>0.2424</v>
      </c>
      <c r="D325" s="3">
        <v>0.55000000000000004</v>
      </c>
      <c r="E325" s="3">
        <v>0</v>
      </c>
      <c r="F325" s="3">
        <v>1</v>
      </c>
      <c r="G325" s="3">
        <v>26</v>
      </c>
      <c r="H325" s="3">
        <v>27</v>
      </c>
    </row>
    <row r="326" spans="1:8" ht="15.75" customHeight="1" x14ac:dyDescent="0.25">
      <c r="A326" s="3">
        <v>324</v>
      </c>
      <c r="B326" s="3">
        <v>325</v>
      </c>
      <c r="C326" s="3">
        <v>0.2424</v>
      </c>
      <c r="D326" s="3">
        <v>0.55000000000000004</v>
      </c>
      <c r="E326" s="3">
        <v>0</v>
      </c>
      <c r="F326" s="3">
        <v>3</v>
      </c>
      <c r="G326" s="3">
        <v>25</v>
      </c>
      <c r="H326" s="3">
        <v>28</v>
      </c>
    </row>
    <row r="327" spans="1:8" ht="15.75" customHeight="1" x14ac:dyDescent="0.25">
      <c r="A327" s="3">
        <v>325</v>
      </c>
      <c r="B327" s="3">
        <v>326</v>
      </c>
      <c r="C327" s="3">
        <v>0.19700000000000001</v>
      </c>
      <c r="D327" s="3">
        <v>0.59</v>
      </c>
      <c r="E327" s="3">
        <v>8.9599999999999999E-2</v>
      </c>
      <c r="F327" s="3">
        <v>2</v>
      </c>
      <c r="G327" s="3">
        <v>18</v>
      </c>
      <c r="H327" s="3">
        <v>20</v>
      </c>
    </row>
    <row r="328" spans="1:8" ht="15.75" customHeight="1" x14ac:dyDescent="0.25">
      <c r="A328" s="3">
        <v>326</v>
      </c>
      <c r="B328" s="3">
        <v>327</v>
      </c>
      <c r="C328" s="3">
        <v>0.19700000000000001</v>
      </c>
      <c r="D328" s="3">
        <v>0.59</v>
      </c>
      <c r="E328" s="3">
        <v>8.9599999999999999E-2</v>
      </c>
      <c r="F328" s="3">
        <v>0</v>
      </c>
      <c r="G328" s="3">
        <v>12</v>
      </c>
      <c r="H328" s="3">
        <v>12</v>
      </c>
    </row>
    <row r="329" spans="1:8" ht="15.75" customHeight="1" x14ac:dyDescent="0.25">
      <c r="A329" s="3">
        <v>327</v>
      </c>
      <c r="B329" s="3">
        <v>328</v>
      </c>
      <c r="C329" s="3">
        <v>0.2273</v>
      </c>
      <c r="D329" s="3">
        <v>0.59</v>
      </c>
      <c r="E329" s="3">
        <v>0</v>
      </c>
      <c r="F329" s="3">
        <v>1</v>
      </c>
      <c r="G329" s="3">
        <v>7</v>
      </c>
      <c r="H329" s="3">
        <v>8</v>
      </c>
    </row>
    <row r="330" spans="1:8" ht="15.75" customHeight="1" x14ac:dyDescent="0.25">
      <c r="A330" s="3">
        <v>328</v>
      </c>
      <c r="B330" s="3">
        <v>329</v>
      </c>
      <c r="C330" s="3">
        <v>0.2273</v>
      </c>
      <c r="D330" s="3">
        <v>0.59</v>
      </c>
      <c r="E330" s="3">
        <v>0</v>
      </c>
      <c r="F330" s="3">
        <v>0</v>
      </c>
      <c r="G330" s="3">
        <v>5</v>
      </c>
      <c r="H330" s="3">
        <v>5</v>
      </c>
    </row>
    <row r="331" spans="1:8" ht="15.75" customHeight="1" x14ac:dyDescent="0.25">
      <c r="A331" s="3">
        <v>329</v>
      </c>
      <c r="B331" s="3">
        <v>330</v>
      </c>
      <c r="C331" s="3">
        <v>0.2273</v>
      </c>
      <c r="D331" s="3">
        <v>0.59</v>
      </c>
      <c r="E331" s="3">
        <v>0</v>
      </c>
      <c r="F331" s="3">
        <v>0</v>
      </c>
      <c r="G331" s="3">
        <v>1</v>
      </c>
      <c r="H331" s="3">
        <v>1</v>
      </c>
    </row>
    <row r="332" spans="1:8" ht="15.75" customHeight="1" x14ac:dyDescent="0.25">
      <c r="A332" s="3">
        <v>330</v>
      </c>
      <c r="B332" s="3">
        <v>331</v>
      </c>
      <c r="C332" s="3">
        <v>0.16669999999999999</v>
      </c>
      <c r="D332" s="3">
        <v>0.63</v>
      </c>
      <c r="E332" s="3">
        <v>0.1045</v>
      </c>
      <c r="F332" s="3">
        <v>1</v>
      </c>
      <c r="G332" s="3">
        <v>2</v>
      </c>
      <c r="H332" s="3">
        <v>3</v>
      </c>
    </row>
    <row r="333" spans="1:8" ht="15.75" customHeight="1" x14ac:dyDescent="0.25">
      <c r="A333" s="3">
        <v>331</v>
      </c>
      <c r="B333" s="3">
        <v>332</v>
      </c>
      <c r="C333" s="3">
        <v>0.21210000000000001</v>
      </c>
      <c r="D333" s="3">
        <v>0.63</v>
      </c>
      <c r="E333" s="3">
        <v>0</v>
      </c>
      <c r="F333" s="3">
        <v>1</v>
      </c>
      <c r="G333" s="3">
        <v>9</v>
      </c>
      <c r="H333" s="3">
        <v>10</v>
      </c>
    </row>
    <row r="334" spans="1:8" ht="15.75" customHeight="1" x14ac:dyDescent="0.25">
      <c r="A334" s="3">
        <v>332</v>
      </c>
      <c r="B334" s="3">
        <v>333</v>
      </c>
      <c r="C334" s="3">
        <v>0.1515</v>
      </c>
      <c r="D334" s="3">
        <v>0.63</v>
      </c>
      <c r="E334" s="3">
        <v>0.1343</v>
      </c>
      <c r="F334" s="3">
        <v>1</v>
      </c>
      <c r="G334" s="3">
        <v>22</v>
      </c>
      <c r="H334" s="3">
        <v>23</v>
      </c>
    </row>
    <row r="335" spans="1:8" ht="15.75" customHeight="1" x14ac:dyDescent="0.25">
      <c r="A335" s="3">
        <v>333</v>
      </c>
      <c r="B335" s="3">
        <v>334</v>
      </c>
      <c r="C335" s="3">
        <v>0.18179999999999999</v>
      </c>
      <c r="D335" s="3">
        <v>0.64</v>
      </c>
      <c r="E335" s="3">
        <v>0.1343</v>
      </c>
      <c r="F335" s="3">
        <v>2</v>
      </c>
      <c r="G335" s="3">
        <v>31</v>
      </c>
      <c r="H335" s="3">
        <v>33</v>
      </c>
    </row>
    <row r="336" spans="1:8" ht="15.75" customHeight="1" x14ac:dyDescent="0.25">
      <c r="A336" s="3">
        <v>334</v>
      </c>
      <c r="B336" s="3">
        <v>335</v>
      </c>
      <c r="C336" s="3">
        <v>0.19700000000000001</v>
      </c>
      <c r="D336" s="3">
        <v>0.59</v>
      </c>
      <c r="E336" s="3">
        <v>0.16420000000000001</v>
      </c>
      <c r="F336" s="3">
        <v>2</v>
      </c>
      <c r="G336" s="3">
        <v>57</v>
      </c>
      <c r="H336" s="3">
        <v>59</v>
      </c>
    </row>
    <row r="337" spans="1:8" ht="15.75" customHeight="1" x14ac:dyDescent="0.25">
      <c r="A337" s="3">
        <v>335</v>
      </c>
      <c r="B337" s="3">
        <v>336</v>
      </c>
      <c r="C337" s="3">
        <v>0.19700000000000001</v>
      </c>
      <c r="D337" s="3">
        <v>0.55000000000000004</v>
      </c>
      <c r="E337" s="3">
        <v>0.22389999999999999</v>
      </c>
      <c r="F337" s="3">
        <v>18</v>
      </c>
      <c r="G337" s="3">
        <v>54</v>
      </c>
      <c r="H337" s="3">
        <v>72</v>
      </c>
    </row>
    <row r="338" spans="1:8" ht="15.75" customHeight="1" x14ac:dyDescent="0.25">
      <c r="A338" s="3">
        <v>336</v>
      </c>
      <c r="B338" s="3">
        <v>337</v>
      </c>
      <c r="C338" s="3">
        <v>0.2273</v>
      </c>
      <c r="D338" s="3">
        <v>0.48</v>
      </c>
      <c r="E338" s="3">
        <v>0.22389999999999999</v>
      </c>
      <c r="F338" s="3">
        <v>15</v>
      </c>
      <c r="G338" s="3">
        <v>74</v>
      </c>
      <c r="H338" s="3">
        <v>89</v>
      </c>
    </row>
    <row r="339" spans="1:8" ht="15.75" customHeight="1" x14ac:dyDescent="0.25">
      <c r="A339" s="3">
        <v>337</v>
      </c>
      <c r="B339" s="3">
        <v>338</v>
      </c>
      <c r="C339" s="3">
        <v>0.2576</v>
      </c>
      <c r="D339" s="3">
        <v>0.38</v>
      </c>
      <c r="E339" s="3">
        <v>0.29849999999999999</v>
      </c>
      <c r="F339" s="3">
        <v>21</v>
      </c>
      <c r="G339" s="3">
        <v>80</v>
      </c>
      <c r="H339" s="3">
        <v>101</v>
      </c>
    </row>
    <row r="340" spans="1:8" ht="15.75" customHeight="1" x14ac:dyDescent="0.25">
      <c r="A340" s="3">
        <v>338</v>
      </c>
      <c r="B340" s="3">
        <v>339</v>
      </c>
      <c r="C340" s="3">
        <v>0.28789999999999999</v>
      </c>
      <c r="D340" s="3">
        <v>0.39</v>
      </c>
      <c r="E340" s="3">
        <v>0.28360000000000002</v>
      </c>
      <c r="F340" s="3">
        <v>26</v>
      </c>
      <c r="G340" s="3">
        <v>92</v>
      </c>
      <c r="H340" s="3">
        <v>118</v>
      </c>
    </row>
    <row r="341" spans="1:8" ht="15.75" customHeight="1" x14ac:dyDescent="0.25">
      <c r="A341" s="3">
        <v>339</v>
      </c>
      <c r="B341" s="3">
        <v>340</v>
      </c>
      <c r="C341" s="3">
        <v>0.31819999999999998</v>
      </c>
      <c r="D341" s="3">
        <v>0.36</v>
      </c>
      <c r="E341" s="3">
        <v>0.19400000000000001</v>
      </c>
      <c r="F341" s="3">
        <v>21</v>
      </c>
      <c r="G341" s="3">
        <v>108</v>
      </c>
      <c r="H341" s="3">
        <v>129</v>
      </c>
    </row>
    <row r="342" spans="1:8" ht="15.75" customHeight="1" x14ac:dyDescent="0.25">
      <c r="A342" s="3">
        <v>340</v>
      </c>
      <c r="B342" s="3">
        <v>341</v>
      </c>
      <c r="C342" s="3">
        <v>0.33329999999999999</v>
      </c>
      <c r="D342" s="3">
        <v>0.34</v>
      </c>
      <c r="E342" s="3">
        <v>0.19400000000000001</v>
      </c>
      <c r="F342" s="3">
        <v>33</v>
      </c>
      <c r="G342" s="3">
        <v>95</v>
      </c>
      <c r="H342" s="3">
        <v>128</v>
      </c>
    </row>
    <row r="343" spans="1:8" ht="15.75" customHeight="1" x14ac:dyDescent="0.25">
      <c r="A343" s="3">
        <v>341</v>
      </c>
      <c r="B343" s="3">
        <v>342</v>
      </c>
      <c r="C343" s="3">
        <v>0.30299999999999999</v>
      </c>
      <c r="D343" s="3">
        <v>0.36</v>
      </c>
      <c r="E343" s="3">
        <v>0.28360000000000002</v>
      </c>
      <c r="F343" s="3">
        <v>29</v>
      </c>
      <c r="G343" s="3">
        <v>54</v>
      </c>
      <c r="H343" s="3">
        <v>83</v>
      </c>
    </row>
    <row r="344" spans="1:8" ht="15.75" customHeight="1" x14ac:dyDescent="0.25">
      <c r="A344" s="3">
        <v>342</v>
      </c>
      <c r="B344" s="3">
        <v>343</v>
      </c>
      <c r="C344" s="3">
        <v>0.28789999999999999</v>
      </c>
      <c r="D344" s="3">
        <v>0.45</v>
      </c>
      <c r="E344" s="3">
        <v>0.25369999999999998</v>
      </c>
      <c r="F344" s="3">
        <v>15</v>
      </c>
      <c r="G344" s="3">
        <v>69</v>
      </c>
      <c r="H344" s="3">
        <v>84</v>
      </c>
    </row>
    <row r="345" spans="1:8" ht="15.75" customHeight="1" x14ac:dyDescent="0.25">
      <c r="A345" s="3">
        <v>343</v>
      </c>
      <c r="B345" s="3">
        <v>344</v>
      </c>
      <c r="C345" s="3">
        <v>0.30299999999999999</v>
      </c>
      <c r="D345" s="3">
        <v>0.39</v>
      </c>
      <c r="E345" s="3">
        <v>0.25369999999999998</v>
      </c>
      <c r="F345" s="3">
        <v>14</v>
      </c>
      <c r="G345" s="3">
        <v>60</v>
      </c>
      <c r="H345" s="3">
        <v>74</v>
      </c>
    </row>
    <row r="346" spans="1:8" ht="15.75" customHeight="1" x14ac:dyDescent="0.25">
      <c r="A346" s="3">
        <v>344</v>
      </c>
      <c r="B346" s="3">
        <v>345</v>
      </c>
      <c r="C346" s="3">
        <v>0.30299999999999999</v>
      </c>
      <c r="D346" s="3">
        <v>0.39</v>
      </c>
      <c r="E346" s="3">
        <v>0.25369999999999998</v>
      </c>
      <c r="F346" s="3">
        <v>6</v>
      </c>
      <c r="G346" s="3">
        <v>35</v>
      </c>
      <c r="H346" s="3">
        <v>41</v>
      </c>
    </row>
    <row r="347" spans="1:8" ht="15.75" customHeight="1" x14ac:dyDescent="0.25">
      <c r="A347" s="3">
        <v>345</v>
      </c>
      <c r="B347" s="3">
        <v>346</v>
      </c>
      <c r="C347" s="3">
        <v>0.30299999999999999</v>
      </c>
      <c r="D347" s="3">
        <v>0.39</v>
      </c>
      <c r="E347" s="3">
        <v>0.22389999999999999</v>
      </c>
      <c r="F347" s="3">
        <v>6</v>
      </c>
      <c r="G347" s="3">
        <v>51</v>
      </c>
      <c r="H347" s="3">
        <v>57</v>
      </c>
    </row>
    <row r="348" spans="1:8" ht="15.75" customHeight="1" x14ac:dyDescent="0.25">
      <c r="A348" s="3">
        <v>346</v>
      </c>
      <c r="B348" s="3">
        <v>347</v>
      </c>
      <c r="C348" s="3">
        <v>0.31819999999999998</v>
      </c>
      <c r="D348" s="3">
        <v>0.42</v>
      </c>
      <c r="E348" s="3">
        <v>0.1045</v>
      </c>
      <c r="F348" s="3">
        <v>0</v>
      </c>
      <c r="G348" s="3">
        <v>26</v>
      </c>
      <c r="H348" s="3">
        <v>26</v>
      </c>
    </row>
    <row r="349" spans="1:8" ht="15.75" customHeight="1" x14ac:dyDescent="0.25">
      <c r="A349" s="3">
        <v>347</v>
      </c>
      <c r="B349" s="3">
        <v>348</v>
      </c>
      <c r="C349" s="3">
        <v>0.28789999999999999</v>
      </c>
      <c r="D349" s="3">
        <v>0.45</v>
      </c>
      <c r="E349" s="3">
        <v>0.28360000000000002</v>
      </c>
      <c r="F349" s="3">
        <v>5</v>
      </c>
      <c r="G349" s="3">
        <v>39</v>
      </c>
      <c r="H349" s="3">
        <v>44</v>
      </c>
    </row>
    <row r="350" spans="1:8" ht="15.75" customHeight="1" x14ac:dyDescent="0.25">
      <c r="A350" s="3">
        <v>348</v>
      </c>
      <c r="B350" s="3">
        <v>349</v>
      </c>
      <c r="C350" s="3">
        <v>0.30299999999999999</v>
      </c>
      <c r="D350" s="3">
        <v>0.56000000000000005</v>
      </c>
      <c r="E350" s="3">
        <v>0</v>
      </c>
      <c r="F350" s="3">
        <v>6</v>
      </c>
      <c r="G350" s="3">
        <v>33</v>
      </c>
      <c r="H350" s="3">
        <v>39</v>
      </c>
    </row>
    <row r="351" spans="1:8" ht="15.75" customHeight="1" x14ac:dyDescent="0.25">
      <c r="A351" s="3">
        <v>349</v>
      </c>
      <c r="B351" s="3">
        <v>350</v>
      </c>
      <c r="C351" s="3">
        <v>0.2727</v>
      </c>
      <c r="D351" s="3">
        <v>0.56000000000000005</v>
      </c>
      <c r="E351" s="3">
        <v>0.1343</v>
      </c>
      <c r="F351" s="3">
        <v>4</v>
      </c>
      <c r="G351" s="3">
        <v>19</v>
      </c>
      <c r="H351" s="3">
        <v>23</v>
      </c>
    </row>
    <row r="352" spans="1:8" ht="15.75" customHeight="1" x14ac:dyDescent="0.25">
      <c r="A352" s="3">
        <v>350</v>
      </c>
      <c r="B352" s="3">
        <v>351</v>
      </c>
      <c r="C352" s="3">
        <v>0.28789999999999999</v>
      </c>
      <c r="D352" s="3">
        <v>0.56000000000000005</v>
      </c>
      <c r="E352" s="3">
        <v>8.9599999999999999E-2</v>
      </c>
      <c r="F352" s="3">
        <v>3</v>
      </c>
      <c r="G352" s="3">
        <v>13</v>
      </c>
      <c r="H352" s="3">
        <v>16</v>
      </c>
    </row>
    <row r="353" spans="1:8" ht="15.75" customHeight="1" x14ac:dyDescent="0.25">
      <c r="A353" s="3">
        <v>351</v>
      </c>
      <c r="B353" s="3">
        <v>352</v>
      </c>
      <c r="C353" s="3">
        <v>0.2727</v>
      </c>
      <c r="D353" s="3">
        <v>0.69</v>
      </c>
      <c r="E353" s="3">
        <v>0</v>
      </c>
      <c r="F353" s="3">
        <v>9</v>
      </c>
      <c r="G353" s="3">
        <v>6</v>
      </c>
      <c r="H353" s="3">
        <v>15</v>
      </c>
    </row>
    <row r="354" spans="1:8" ht="15.75" customHeight="1" x14ac:dyDescent="0.25">
      <c r="A354" s="3">
        <v>352</v>
      </c>
      <c r="B354" s="3">
        <v>353</v>
      </c>
      <c r="C354" s="3">
        <v>0.2576</v>
      </c>
      <c r="D354" s="3">
        <v>0.56000000000000005</v>
      </c>
      <c r="E354" s="3">
        <v>0.16420000000000001</v>
      </c>
      <c r="F354" s="3">
        <v>0</v>
      </c>
      <c r="G354" s="3">
        <v>1</v>
      </c>
      <c r="H354" s="3">
        <v>1</v>
      </c>
    </row>
    <row r="355" spans="1:8" ht="15.75" customHeight="1" x14ac:dyDescent="0.25">
      <c r="A355" s="3">
        <v>353</v>
      </c>
      <c r="B355" s="3">
        <v>354</v>
      </c>
      <c r="C355" s="3">
        <v>0.2576</v>
      </c>
      <c r="D355" s="3">
        <v>0.56000000000000005</v>
      </c>
      <c r="E355" s="3">
        <v>0.16420000000000001</v>
      </c>
      <c r="F355" s="3">
        <v>1</v>
      </c>
      <c r="G355" s="3">
        <v>1</v>
      </c>
      <c r="H355" s="3">
        <v>2</v>
      </c>
    </row>
    <row r="356" spans="1:8" ht="15.75" customHeight="1" x14ac:dyDescent="0.25">
      <c r="A356" s="3">
        <v>354</v>
      </c>
      <c r="B356" s="3">
        <v>355</v>
      </c>
      <c r="C356" s="3">
        <v>0.2576</v>
      </c>
      <c r="D356" s="3">
        <v>0.56000000000000005</v>
      </c>
      <c r="E356" s="3">
        <v>0.16420000000000001</v>
      </c>
      <c r="F356" s="3">
        <v>0</v>
      </c>
      <c r="G356" s="3">
        <v>1</v>
      </c>
      <c r="H356" s="3">
        <v>1</v>
      </c>
    </row>
    <row r="357" spans="1:8" ht="15.75" customHeight="1" x14ac:dyDescent="0.25">
      <c r="A357" s="3">
        <v>355</v>
      </c>
      <c r="B357" s="3">
        <v>356</v>
      </c>
      <c r="C357" s="3">
        <v>0.21210000000000001</v>
      </c>
      <c r="D357" s="3">
        <v>0.56000000000000005</v>
      </c>
      <c r="E357" s="3">
        <v>0.29849999999999999</v>
      </c>
      <c r="F357" s="3">
        <v>0</v>
      </c>
      <c r="G357" s="3">
        <v>3</v>
      </c>
      <c r="H357" s="3">
        <v>3</v>
      </c>
    </row>
    <row r="358" spans="1:8" ht="15.75" customHeight="1" x14ac:dyDescent="0.25">
      <c r="A358" s="3">
        <v>356</v>
      </c>
      <c r="B358" s="3">
        <v>357</v>
      </c>
      <c r="C358" s="3">
        <v>0.21210000000000001</v>
      </c>
      <c r="D358" s="3">
        <v>0.55000000000000004</v>
      </c>
      <c r="E358" s="3">
        <v>0.28360000000000002</v>
      </c>
      <c r="F358" s="3">
        <v>0</v>
      </c>
      <c r="G358" s="3">
        <v>18</v>
      </c>
      <c r="H358" s="3">
        <v>18</v>
      </c>
    </row>
    <row r="359" spans="1:8" ht="15.75" customHeight="1" x14ac:dyDescent="0.25">
      <c r="A359" s="3">
        <v>357</v>
      </c>
      <c r="B359" s="3">
        <v>358</v>
      </c>
      <c r="C359" s="3">
        <v>0.21210000000000001</v>
      </c>
      <c r="D359" s="3">
        <v>0.51</v>
      </c>
      <c r="E359" s="3">
        <v>0.25369999999999998</v>
      </c>
      <c r="F359" s="3">
        <v>3</v>
      </c>
      <c r="G359" s="3">
        <v>29</v>
      </c>
      <c r="H359" s="3">
        <v>32</v>
      </c>
    </row>
    <row r="360" spans="1:8" ht="15.75" customHeight="1" x14ac:dyDescent="0.25">
      <c r="A360" s="3">
        <v>358</v>
      </c>
      <c r="B360" s="3">
        <v>359</v>
      </c>
      <c r="C360" s="3">
        <v>0.21210000000000001</v>
      </c>
      <c r="D360" s="3">
        <v>0.51</v>
      </c>
      <c r="E360" s="3">
        <v>0.28360000000000002</v>
      </c>
      <c r="F360" s="3">
        <v>8</v>
      </c>
      <c r="G360" s="3">
        <v>71</v>
      </c>
      <c r="H360" s="3">
        <v>79</v>
      </c>
    </row>
    <row r="361" spans="1:8" ht="15.75" customHeight="1" x14ac:dyDescent="0.25">
      <c r="A361" s="3">
        <v>359</v>
      </c>
      <c r="B361" s="3">
        <v>360</v>
      </c>
      <c r="C361" s="3">
        <v>0.2273</v>
      </c>
      <c r="D361" s="3">
        <v>0.44</v>
      </c>
      <c r="E361" s="3">
        <v>0.25369999999999998</v>
      </c>
      <c r="F361" s="3">
        <v>23</v>
      </c>
      <c r="G361" s="3">
        <v>70</v>
      </c>
      <c r="H361" s="3">
        <v>93</v>
      </c>
    </row>
    <row r="362" spans="1:8" ht="15.75" customHeight="1" x14ac:dyDescent="0.25">
      <c r="A362" s="3">
        <v>360</v>
      </c>
      <c r="B362" s="3">
        <v>361</v>
      </c>
      <c r="C362" s="3">
        <v>0.21210000000000001</v>
      </c>
      <c r="D362" s="3">
        <v>0.41</v>
      </c>
      <c r="E362" s="3">
        <v>0.28360000000000002</v>
      </c>
      <c r="F362" s="3">
        <v>29</v>
      </c>
      <c r="G362" s="3">
        <v>75</v>
      </c>
      <c r="H362" s="3">
        <v>104</v>
      </c>
    </row>
    <row r="363" spans="1:8" ht="15.75" customHeight="1" x14ac:dyDescent="0.25">
      <c r="A363" s="3">
        <v>361</v>
      </c>
      <c r="B363" s="3">
        <v>362</v>
      </c>
      <c r="C363" s="3">
        <v>0.2273</v>
      </c>
      <c r="D363" s="3">
        <v>0.35</v>
      </c>
      <c r="E363" s="3">
        <v>0.29849999999999999</v>
      </c>
      <c r="F363" s="3">
        <v>23</v>
      </c>
      <c r="G363" s="3">
        <v>95</v>
      </c>
      <c r="H363" s="3">
        <v>118</v>
      </c>
    </row>
    <row r="364" spans="1:8" ht="15.75" customHeight="1" x14ac:dyDescent="0.25">
      <c r="A364" s="3">
        <v>362</v>
      </c>
      <c r="B364" s="3">
        <v>363</v>
      </c>
      <c r="C364" s="3">
        <v>0.2727</v>
      </c>
      <c r="D364" s="3">
        <v>0.36</v>
      </c>
      <c r="E364" s="3">
        <v>0.25369999999999998</v>
      </c>
      <c r="F364" s="3">
        <v>22</v>
      </c>
      <c r="G364" s="3">
        <v>69</v>
      </c>
      <c r="H364" s="3">
        <v>91</v>
      </c>
    </row>
    <row r="365" spans="1:8" ht="15.75" customHeight="1" x14ac:dyDescent="0.25">
      <c r="A365" s="3">
        <v>363</v>
      </c>
      <c r="B365" s="3">
        <v>364</v>
      </c>
      <c r="C365" s="3">
        <v>0.2424</v>
      </c>
      <c r="D365" s="3">
        <v>0.38</v>
      </c>
      <c r="E365" s="3">
        <v>0.25369999999999998</v>
      </c>
      <c r="F365" s="3">
        <v>35</v>
      </c>
      <c r="G365" s="3">
        <v>78</v>
      </c>
      <c r="H365" s="3">
        <v>113</v>
      </c>
    </row>
    <row r="366" spans="1:8" ht="15.75" customHeight="1" x14ac:dyDescent="0.25">
      <c r="A366" s="3">
        <v>364</v>
      </c>
      <c r="B366" s="3">
        <v>365</v>
      </c>
      <c r="C366" s="3">
        <v>0.2273</v>
      </c>
      <c r="D366" s="3">
        <v>0.38</v>
      </c>
      <c r="E366" s="3">
        <v>0.22389999999999999</v>
      </c>
      <c r="F366" s="3">
        <v>22</v>
      </c>
      <c r="G366" s="3">
        <v>77</v>
      </c>
      <c r="H366" s="3">
        <v>99</v>
      </c>
    </row>
    <row r="367" spans="1:8" ht="15.75" customHeight="1" x14ac:dyDescent="0.25">
      <c r="A367" s="3">
        <v>365</v>
      </c>
      <c r="B367" s="3">
        <v>366</v>
      </c>
      <c r="C367" s="3">
        <v>0.21210000000000001</v>
      </c>
      <c r="D367" s="3">
        <v>0.37</v>
      </c>
      <c r="E367" s="3">
        <v>0.25369999999999998</v>
      </c>
      <c r="F367" s="3">
        <v>23</v>
      </c>
      <c r="G367" s="3">
        <v>82</v>
      </c>
      <c r="H367" s="3">
        <v>105</v>
      </c>
    </row>
    <row r="368" spans="1:8" ht="15.75" customHeight="1" x14ac:dyDescent="0.25">
      <c r="A368" s="3">
        <v>366</v>
      </c>
      <c r="B368" s="3">
        <v>367</v>
      </c>
      <c r="C368" s="3">
        <v>0.21210000000000001</v>
      </c>
      <c r="D368" s="3">
        <v>0.4</v>
      </c>
      <c r="E368" s="3">
        <v>0.16420000000000001</v>
      </c>
      <c r="F368" s="3">
        <v>11</v>
      </c>
      <c r="G368" s="3">
        <v>56</v>
      </c>
      <c r="H368" s="3">
        <v>67</v>
      </c>
    </row>
    <row r="369" spans="1:8" ht="15.75" customHeight="1" x14ac:dyDescent="0.25">
      <c r="A369" s="3">
        <v>367</v>
      </c>
      <c r="B369" s="3">
        <v>368</v>
      </c>
      <c r="C369" s="3">
        <v>0.19700000000000001</v>
      </c>
      <c r="D369" s="3">
        <v>0.47</v>
      </c>
      <c r="E369" s="3">
        <v>0.1343</v>
      </c>
      <c r="F369" s="3">
        <v>14</v>
      </c>
      <c r="G369" s="3">
        <v>47</v>
      </c>
      <c r="H369" s="3">
        <v>61</v>
      </c>
    </row>
    <row r="370" spans="1:8" ht="15.75" customHeight="1" x14ac:dyDescent="0.25">
      <c r="A370" s="3">
        <v>368</v>
      </c>
      <c r="B370" s="3">
        <v>369</v>
      </c>
      <c r="C370" s="3">
        <v>0.19700000000000001</v>
      </c>
      <c r="D370" s="3">
        <v>0.47</v>
      </c>
      <c r="E370" s="3">
        <v>0.16420000000000001</v>
      </c>
      <c r="F370" s="3">
        <v>7</v>
      </c>
      <c r="G370" s="3">
        <v>50</v>
      </c>
      <c r="H370" s="3">
        <v>57</v>
      </c>
    </row>
    <row r="371" spans="1:8" ht="15.75" customHeight="1" x14ac:dyDescent="0.25">
      <c r="A371" s="3">
        <v>369</v>
      </c>
      <c r="B371" s="3">
        <v>370</v>
      </c>
      <c r="C371" s="3">
        <v>0.19700000000000001</v>
      </c>
      <c r="D371" s="3">
        <v>0.51</v>
      </c>
      <c r="E371" s="3">
        <v>0.16420000000000001</v>
      </c>
      <c r="F371" s="3">
        <v>6</v>
      </c>
      <c r="G371" s="3">
        <v>22</v>
      </c>
      <c r="H371" s="3">
        <v>28</v>
      </c>
    </row>
    <row r="372" spans="1:8" ht="15.75" customHeight="1" x14ac:dyDescent="0.25">
      <c r="A372" s="3">
        <v>370</v>
      </c>
      <c r="B372" s="3">
        <v>371</v>
      </c>
      <c r="C372" s="3">
        <v>0.21210000000000001</v>
      </c>
      <c r="D372" s="3">
        <v>0.49</v>
      </c>
      <c r="E372" s="3">
        <v>0.1343</v>
      </c>
      <c r="F372" s="3">
        <v>2</v>
      </c>
      <c r="G372" s="3">
        <v>19</v>
      </c>
      <c r="H372" s="3">
        <v>21</v>
      </c>
    </row>
    <row r="373" spans="1:8" ht="15.75" customHeight="1" x14ac:dyDescent="0.25">
      <c r="A373" s="3">
        <v>371</v>
      </c>
      <c r="B373" s="3">
        <v>372</v>
      </c>
      <c r="C373" s="3">
        <v>0.2273</v>
      </c>
      <c r="D373" s="3">
        <v>0.4</v>
      </c>
      <c r="E373" s="3">
        <v>0.1045</v>
      </c>
      <c r="F373" s="3">
        <v>0</v>
      </c>
      <c r="G373" s="3">
        <v>18</v>
      </c>
      <c r="H373" s="3">
        <v>18</v>
      </c>
    </row>
    <row r="374" spans="1:8" ht="15.75" customHeight="1" x14ac:dyDescent="0.25">
      <c r="A374" s="3">
        <v>372</v>
      </c>
      <c r="B374" s="3">
        <v>373</v>
      </c>
      <c r="C374" s="3">
        <v>0.19700000000000001</v>
      </c>
      <c r="D374" s="3">
        <v>0.47</v>
      </c>
      <c r="E374" s="3">
        <v>0.22389999999999999</v>
      </c>
      <c r="F374" s="3">
        <v>1</v>
      </c>
      <c r="G374" s="3">
        <v>16</v>
      </c>
      <c r="H374" s="3">
        <v>17</v>
      </c>
    </row>
    <row r="375" spans="1:8" ht="15.75" customHeight="1" x14ac:dyDescent="0.25">
      <c r="A375" s="3">
        <v>373</v>
      </c>
      <c r="B375" s="3">
        <v>374</v>
      </c>
      <c r="C375" s="3">
        <v>0.19700000000000001</v>
      </c>
      <c r="D375" s="3">
        <v>0.44</v>
      </c>
      <c r="E375" s="3">
        <v>0.19400000000000001</v>
      </c>
      <c r="F375" s="3">
        <v>1</v>
      </c>
      <c r="G375" s="3">
        <v>15</v>
      </c>
      <c r="H375" s="3">
        <v>16</v>
      </c>
    </row>
    <row r="376" spans="1:8" ht="15.75" customHeight="1" x14ac:dyDescent="0.25">
      <c r="A376" s="3">
        <v>374</v>
      </c>
      <c r="B376" s="3">
        <v>375</v>
      </c>
      <c r="C376" s="3">
        <v>0.16669999999999999</v>
      </c>
      <c r="D376" s="3">
        <v>0.43</v>
      </c>
      <c r="E376" s="3">
        <v>0.25369999999999998</v>
      </c>
      <c r="F376" s="3">
        <v>0</v>
      </c>
      <c r="G376" s="3">
        <v>8</v>
      </c>
      <c r="H376" s="3">
        <v>8</v>
      </c>
    </row>
    <row r="377" spans="1:8" ht="15.75" customHeight="1" x14ac:dyDescent="0.25">
      <c r="A377" s="3">
        <v>375</v>
      </c>
      <c r="B377" s="3">
        <v>376</v>
      </c>
      <c r="C377" s="3">
        <v>0.18179999999999999</v>
      </c>
      <c r="D377" s="3">
        <v>0.43</v>
      </c>
      <c r="E377" s="3">
        <v>0.19400000000000001</v>
      </c>
      <c r="F377" s="3">
        <v>0</v>
      </c>
      <c r="G377" s="3">
        <v>2</v>
      </c>
      <c r="H377" s="3">
        <v>2</v>
      </c>
    </row>
    <row r="378" spans="1:8" ht="15.75" customHeight="1" x14ac:dyDescent="0.25">
      <c r="A378" s="3">
        <v>376</v>
      </c>
      <c r="B378" s="3">
        <v>377</v>
      </c>
      <c r="C378" s="3">
        <v>0.19700000000000001</v>
      </c>
      <c r="D378" s="3">
        <v>0.43</v>
      </c>
      <c r="E378" s="3">
        <v>0.1343</v>
      </c>
      <c r="F378" s="3">
        <v>1</v>
      </c>
      <c r="G378" s="3">
        <v>2</v>
      </c>
      <c r="H378" s="3">
        <v>3</v>
      </c>
    </row>
    <row r="379" spans="1:8" ht="15.75" customHeight="1" x14ac:dyDescent="0.25">
      <c r="A379" s="3">
        <v>377</v>
      </c>
      <c r="B379" s="3">
        <v>378</v>
      </c>
      <c r="C379" s="3">
        <v>0.19700000000000001</v>
      </c>
      <c r="D379" s="3">
        <v>0.43</v>
      </c>
      <c r="E379" s="3">
        <v>0.16420000000000001</v>
      </c>
      <c r="F379" s="3">
        <v>0</v>
      </c>
      <c r="G379" s="3">
        <v>1</v>
      </c>
      <c r="H379" s="3">
        <v>1</v>
      </c>
    </row>
    <row r="380" spans="1:8" ht="15.75" customHeight="1" x14ac:dyDescent="0.25">
      <c r="A380" s="3">
        <v>378</v>
      </c>
      <c r="B380" s="3">
        <v>379</v>
      </c>
      <c r="C380" s="3">
        <v>0.18179999999999999</v>
      </c>
      <c r="D380" s="3">
        <v>0.43</v>
      </c>
      <c r="E380" s="3">
        <v>0.19400000000000001</v>
      </c>
      <c r="F380" s="3">
        <v>0</v>
      </c>
      <c r="G380" s="3">
        <v>5</v>
      </c>
      <c r="H380" s="3">
        <v>5</v>
      </c>
    </row>
    <row r="381" spans="1:8" ht="15.75" customHeight="1" x14ac:dyDescent="0.25">
      <c r="A381" s="3">
        <v>379</v>
      </c>
      <c r="B381" s="3">
        <v>380</v>
      </c>
      <c r="C381" s="3">
        <v>0.18179999999999999</v>
      </c>
      <c r="D381" s="3">
        <v>0.5</v>
      </c>
      <c r="E381" s="3">
        <v>0.1343</v>
      </c>
      <c r="F381" s="3">
        <v>4</v>
      </c>
      <c r="G381" s="3">
        <v>9</v>
      </c>
      <c r="H381" s="3">
        <v>13</v>
      </c>
    </row>
    <row r="382" spans="1:8" ht="15.75" customHeight="1" x14ac:dyDescent="0.25">
      <c r="A382" s="3">
        <v>380</v>
      </c>
      <c r="B382" s="3">
        <v>381</v>
      </c>
      <c r="C382" s="3">
        <v>0.1515</v>
      </c>
      <c r="D382" s="3">
        <v>0.47</v>
      </c>
      <c r="E382" s="3">
        <v>0.22389999999999999</v>
      </c>
      <c r="F382" s="3">
        <v>3</v>
      </c>
      <c r="G382" s="3">
        <v>30</v>
      </c>
      <c r="H382" s="3">
        <v>33</v>
      </c>
    </row>
    <row r="383" spans="1:8" ht="15.75" customHeight="1" x14ac:dyDescent="0.25">
      <c r="A383" s="3">
        <v>381</v>
      </c>
      <c r="B383" s="3">
        <v>382</v>
      </c>
      <c r="C383" s="3">
        <v>0.1515</v>
      </c>
      <c r="D383" s="3">
        <v>0.47</v>
      </c>
      <c r="E383" s="3">
        <v>0.22389999999999999</v>
      </c>
      <c r="F383" s="3">
        <v>8</v>
      </c>
      <c r="G383" s="3">
        <v>39</v>
      </c>
      <c r="H383" s="3">
        <v>47</v>
      </c>
    </row>
    <row r="384" spans="1:8" ht="15.75" customHeight="1" x14ac:dyDescent="0.25">
      <c r="A384" s="3">
        <v>382</v>
      </c>
      <c r="B384" s="3">
        <v>383</v>
      </c>
      <c r="C384" s="3">
        <v>0.1515</v>
      </c>
      <c r="D384" s="3">
        <v>0.5</v>
      </c>
      <c r="E384" s="3">
        <v>0.25369999999999998</v>
      </c>
      <c r="F384" s="3">
        <v>7</v>
      </c>
      <c r="G384" s="3">
        <v>50</v>
      </c>
      <c r="H384" s="3">
        <v>57</v>
      </c>
    </row>
    <row r="385" spans="1:8" ht="15.75" customHeight="1" x14ac:dyDescent="0.25">
      <c r="A385" s="3">
        <v>383</v>
      </c>
      <c r="B385" s="3">
        <v>384</v>
      </c>
      <c r="C385" s="3">
        <v>0.1515</v>
      </c>
      <c r="D385" s="3">
        <v>0.55000000000000004</v>
      </c>
      <c r="E385" s="3">
        <v>0.19400000000000001</v>
      </c>
      <c r="F385" s="3">
        <v>9</v>
      </c>
      <c r="G385" s="3">
        <v>55</v>
      </c>
      <c r="H385" s="3">
        <v>64</v>
      </c>
    </row>
    <row r="386" spans="1:8" ht="15.75" customHeight="1" x14ac:dyDescent="0.25">
      <c r="A386" s="3">
        <v>384</v>
      </c>
      <c r="B386" s="3">
        <v>385</v>
      </c>
      <c r="C386" s="3">
        <v>0.19700000000000001</v>
      </c>
      <c r="D386" s="3">
        <v>0.47</v>
      </c>
      <c r="E386" s="3">
        <v>0.1343</v>
      </c>
      <c r="F386" s="3">
        <v>10</v>
      </c>
      <c r="G386" s="3">
        <v>70</v>
      </c>
      <c r="H386" s="3">
        <v>80</v>
      </c>
    </row>
    <row r="387" spans="1:8" ht="15.75" customHeight="1" x14ac:dyDescent="0.25">
      <c r="A387" s="3">
        <v>385</v>
      </c>
      <c r="B387" s="3">
        <v>386</v>
      </c>
      <c r="C387" s="3">
        <v>0.19700000000000001</v>
      </c>
      <c r="D387" s="3">
        <v>0.47</v>
      </c>
      <c r="E387" s="3">
        <v>0.1343</v>
      </c>
      <c r="F387" s="3">
        <v>13</v>
      </c>
      <c r="G387" s="3">
        <v>80</v>
      </c>
      <c r="H387" s="3">
        <v>93</v>
      </c>
    </row>
    <row r="388" spans="1:8" ht="15.75" customHeight="1" x14ac:dyDescent="0.25">
      <c r="A388" s="3">
        <v>386</v>
      </c>
      <c r="B388" s="3">
        <v>387</v>
      </c>
      <c r="C388" s="3">
        <v>0.21210000000000001</v>
      </c>
      <c r="D388" s="3">
        <v>0.43</v>
      </c>
      <c r="E388" s="3">
        <v>0.1045</v>
      </c>
      <c r="F388" s="3">
        <v>12</v>
      </c>
      <c r="G388" s="3">
        <v>74</v>
      </c>
      <c r="H388" s="3">
        <v>86</v>
      </c>
    </row>
    <row r="389" spans="1:8" ht="15.75" customHeight="1" x14ac:dyDescent="0.25">
      <c r="A389" s="3">
        <v>387</v>
      </c>
      <c r="B389" s="3">
        <v>388</v>
      </c>
      <c r="C389" s="3">
        <v>0.21210000000000001</v>
      </c>
      <c r="D389" s="3">
        <v>0.47</v>
      </c>
      <c r="E389" s="3">
        <v>0.16420000000000001</v>
      </c>
      <c r="F389" s="3">
        <v>21</v>
      </c>
      <c r="G389" s="3">
        <v>72</v>
      </c>
      <c r="H389" s="3">
        <v>93</v>
      </c>
    </row>
    <row r="390" spans="1:8" ht="15.75" customHeight="1" x14ac:dyDescent="0.25">
      <c r="A390" s="3">
        <v>388</v>
      </c>
      <c r="B390" s="3">
        <v>389</v>
      </c>
      <c r="C390" s="3">
        <v>0.21210000000000001</v>
      </c>
      <c r="D390" s="3">
        <v>0.47</v>
      </c>
      <c r="E390" s="3">
        <v>0.16420000000000001</v>
      </c>
      <c r="F390" s="3">
        <v>6</v>
      </c>
      <c r="G390" s="3">
        <v>76</v>
      </c>
      <c r="H390" s="3">
        <v>82</v>
      </c>
    </row>
    <row r="391" spans="1:8" ht="15.75" customHeight="1" x14ac:dyDescent="0.25">
      <c r="A391" s="3">
        <v>389</v>
      </c>
      <c r="B391" s="3">
        <v>390</v>
      </c>
      <c r="C391" s="3">
        <v>0.19700000000000001</v>
      </c>
      <c r="D391" s="3">
        <v>0.51</v>
      </c>
      <c r="E391" s="3">
        <v>0.19400000000000001</v>
      </c>
      <c r="F391" s="3">
        <v>4</v>
      </c>
      <c r="G391" s="3">
        <v>67</v>
      </c>
      <c r="H391" s="3">
        <v>71</v>
      </c>
    </row>
    <row r="392" spans="1:8" ht="15.75" customHeight="1" x14ac:dyDescent="0.25">
      <c r="A392" s="3">
        <v>390</v>
      </c>
      <c r="B392" s="3">
        <v>391</v>
      </c>
      <c r="C392" s="3">
        <v>0.16669999999999999</v>
      </c>
      <c r="D392" s="3">
        <v>0.55000000000000004</v>
      </c>
      <c r="E392" s="3">
        <v>0.25369999999999998</v>
      </c>
      <c r="F392" s="3">
        <v>7</v>
      </c>
      <c r="G392" s="3">
        <v>85</v>
      </c>
      <c r="H392" s="3">
        <v>92</v>
      </c>
    </row>
    <row r="393" spans="1:8" ht="15.75" customHeight="1" x14ac:dyDescent="0.25">
      <c r="A393" s="3">
        <v>391</v>
      </c>
      <c r="B393" s="3">
        <v>392</v>
      </c>
      <c r="C393" s="3">
        <v>0.18179999999999999</v>
      </c>
      <c r="D393" s="3">
        <v>0.59</v>
      </c>
      <c r="E393" s="3">
        <v>0.19400000000000001</v>
      </c>
      <c r="F393" s="3">
        <v>2</v>
      </c>
      <c r="G393" s="3">
        <v>58</v>
      </c>
      <c r="H393" s="3">
        <v>60</v>
      </c>
    </row>
    <row r="394" spans="1:8" ht="15.75" customHeight="1" x14ac:dyDescent="0.25">
      <c r="A394" s="3">
        <v>392</v>
      </c>
      <c r="B394" s="3">
        <v>393</v>
      </c>
      <c r="C394" s="3">
        <v>0.1515</v>
      </c>
      <c r="D394" s="3">
        <v>0.8</v>
      </c>
      <c r="E394" s="3">
        <v>0.19400000000000001</v>
      </c>
      <c r="F394" s="3">
        <v>4</v>
      </c>
      <c r="G394" s="3">
        <v>29</v>
      </c>
      <c r="H394" s="3">
        <v>33</v>
      </c>
    </row>
    <row r="395" spans="1:8" ht="15.75" customHeight="1" x14ac:dyDescent="0.25">
      <c r="A395" s="3">
        <v>393</v>
      </c>
      <c r="B395" s="3">
        <v>394</v>
      </c>
      <c r="C395" s="3">
        <v>0.1515</v>
      </c>
      <c r="D395" s="3">
        <v>0.8</v>
      </c>
      <c r="E395" s="3">
        <v>0.19400000000000001</v>
      </c>
      <c r="F395" s="3">
        <v>3</v>
      </c>
      <c r="G395" s="3">
        <v>24</v>
      </c>
      <c r="H395" s="3">
        <v>27</v>
      </c>
    </row>
    <row r="396" spans="1:8" ht="15.75" customHeight="1" x14ac:dyDescent="0.25">
      <c r="A396" s="3">
        <v>394</v>
      </c>
      <c r="B396" s="3">
        <v>395</v>
      </c>
      <c r="C396" s="3">
        <v>0.1212</v>
      </c>
      <c r="D396" s="3">
        <v>0.93</v>
      </c>
      <c r="E396" s="3">
        <v>0.25369999999999998</v>
      </c>
      <c r="F396" s="3">
        <v>0</v>
      </c>
      <c r="G396" s="3">
        <v>13</v>
      </c>
      <c r="H396" s="3">
        <v>13</v>
      </c>
    </row>
    <row r="397" spans="1:8" ht="15.75" customHeight="1" x14ac:dyDescent="0.25">
      <c r="A397" s="3">
        <v>395</v>
      </c>
      <c r="B397" s="3">
        <v>396</v>
      </c>
      <c r="C397" s="3">
        <v>0.13639999999999999</v>
      </c>
      <c r="D397" s="3">
        <v>0.86</v>
      </c>
      <c r="E397" s="3">
        <v>0.28360000000000002</v>
      </c>
      <c r="F397" s="3">
        <v>1</v>
      </c>
      <c r="G397" s="3">
        <v>3</v>
      </c>
      <c r="H397" s="3">
        <v>4</v>
      </c>
    </row>
    <row r="398" spans="1:8" ht="15.75" customHeight="1" x14ac:dyDescent="0.25">
      <c r="A398" s="3">
        <v>396</v>
      </c>
      <c r="B398" s="3">
        <v>397</v>
      </c>
      <c r="C398" s="3">
        <v>0.18179999999999999</v>
      </c>
      <c r="D398" s="3">
        <v>0.86</v>
      </c>
      <c r="E398" s="3">
        <v>0.32840000000000003</v>
      </c>
      <c r="F398" s="3">
        <v>0</v>
      </c>
      <c r="G398" s="3">
        <v>3</v>
      </c>
      <c r="H398" s="3">
        <v>3</v>
      </c>
    </row>
    <row r="399" spans="1:8" ht="15.75" customHeight="1" x14ac:dyDescent="0.25">
      <c r="A399" s="3">
        <v>397</v>
      </c>
      <c r="B399" s="3">
        <v>398</v>
      </c>
      <c r="C399" s="3">
        <v>0.19700000000000001</v>
      </c>
      <c r="D399" s="3">
        <v>0.86</v>
      </c>
      <c r="E399" s="3">
        <v>0.22389999999999999</v>
      </c>
      <c r="F399" s="3">
        <v>0</v>
      </c>
      <c r="G399" s="3">
        <v>22</v>
      </c>
      <c r="H399" s="3">
        <v>22</v>
      </c>
    </row>
    <row r="400" spans="1:8" ht="15.75" customHeight="1" x14ac:dyDescent="0.25">
      <c r="A400" s="3">
        <v>398</v>
      </c>
      <c r="B400" s="3">
        <v>399</v>
      </c>
      <c r="C400" s="3">
        <v>0.2273</v>
      </c>
      <c r="D400" s="3">
        <v>0.8</v>
      </c>
      <c r="E400" s="3">
        <v>0.16420000000000001</v>
      </c>
      <c r="F400" s="3">
        <v>2</v>
      </c>
      <c r="G400" s="3">
        <v>26</v>
      </c>
      <c r="H400" s="3">
        <v>28</v>
      </c>
    </row>
    <row r="401" spans="1:8" ht="15.75" customHeight="1" x14ac:dyDescent="0.25">
      <c r="A401" s="3">
        <v>399</v>
      </c>
      <c r="B401" s="3">
        <v>400</v>
      </c>
      <c r="C401" s="3">
        <v>0.2273</v>
      </c>
      <c r="D401" s="3">
        <v>0.87</v>
      </c>
      <c r="E401" s="3">
        <v>0.16420000000000001</v>
      </c>
      <c r="F401" s="3">
        <v>3</v>
      </c>
      <c r="G401" s="3">
        <v>32</v>
      </c>
      <c r="H401" s="3">
        <v>35</v>
      </c>
    </row>
    <row r="402" spans="1:8" ht="15.75" customHeight="1" x14ac:dyDescent="0.25">
      <c r="A402" s="3">
        <v>400</v>
      </c>
      <c r="B402" s="3">
        <v>401</v>
      </c>
      <c r="C402" s="3">
        <v>0.2273</v>
      </c>
      <c r="D402" s="3">
        <v>0.87</v>
      </c>
      <c r="E402" s="3">
        <v>0.19400000000000001</v>
      </c>
      <c r="F402" s="3">
        <v>0</v>
      </c>
      <c r="G402" s="3">
        <v>61</v>
      </c>
      <c r="H402" s="3">
        <v>61</v>
      </c>
    </row>
    <row r="403" spans="1:8" ht="15.75" customHeight="1" x14ac:dyDescent="0.25">
      <c r="A403" s="3">
        <v>401</v>
      </c>
      <c r="B403" s="3">
        <v>402</v>
      </c>
      <c r="C403" s="3">
        <v>0.2273</v>
      </c>
      <c r="D403" s="3">
        <v>0.82</v>
      </c>
      <c r="E403" s="3">
        <v>0.19400000000000001</v>
      </c>
      <c r="F403" s="3">
        <v>1</v>
      </c>
      <c r="G403" s="3">
        <v>124</v>
      </c>
      <c r="H403" s="3">
        <v>125</v>
      </c>
    </row>
    <row r="404" spans="1:8" ht="15.75" customHeight="1" x14ac:dyDescent="0.25">
      <c r="A404" s="3">
        <v>402</v>
      </c>
      <c r="B404" s="3">
        <v>403</v>
      </c>
      <c r="C404" s="3">
        <v>0.2273</v>
      </c>
      <c r="D404" s="3">
        <v>0.8</v>
      </c>
      <c r="E404" s="3">
        <v>0.16420000000000001</v>
      </c>
      <c r="F404" s="3">
        <v>1</v>
      </c>
      <c r="G404" s="3">
        <v>132</v>
      </c>
      <c r="H404" s="3">
        <v>133</v>
      </c>
    </row>
    <row r="405" spans="1:8" ht="15.75" customHeight="1" x14ac:dyDescent="0.25">
      <c r="A405" s="3">
        <v>403</v>
      </c>
      <c r="B405" s="3">
        <v>404</v>
      </c>
      <c r="C405" s="3">
        <v>0.2273</v>
      </c>
      <c r="D405" s="3">
        <v>0.8</v>
      </c>
      <c r="E405" s="3">
        <v>0.1343</v>
      </c>
      <c r="F405" s="3">
        <v>1</v>
      </c>
      <c r="G405" s="3">
        <v>98</v>
      </c>
      <c r="H405" s="3">
        <v>99</v>
      </c>
    </row>
    <row r="406" spans="1:8" ht="15.75" customHeight="1" x14ac:dyDescent="0.25">
      <c r="A406" s="3">
        <v>404</v>
      </c>
      <c r="B406" s="3">
        <v>405</v>
      </c>
      <c r="C406" s="3">
        <v>0.2727</v>
      </c>
      <c r="D406" s="3">
        <v>0.87</v>
      </c>
      <c r="E406" s="3">
        <v>0</v>
      </c>
      <c r="F406" s="3">
        <v>0</v>
      </c>
      <c r="G406" s="3">
        <v>83</v>
      </c>
      <c r="H406" s="3">
        <v>83</v>
      </c>
    </row>
    <row r="407" spans="1:8" ht="15.75" customHeight="1" x14ac:dyDescent="0.25">
      <c r="A407" s="3">
        <v>405</v>
      </c>
      <c r="B407" s="3">
        <v>406</v>
      </c>
      <c r="C407" s="3">
        <v>0.2424</v>
      </c>
      <c r="D407" s="3">
        <v>0.93</v>
      </c>
      <c r="E407" s="3">
        <v>0.1045</v>
      </c>
      <c r="F407" s="3">
        <v>0</v>
      </c>
      <c r="G407" s="3">
        <v>41</v>
      </c>
      <c r="H407" s="3">
        <v>41</v>
      </c>
    </row>
    <row r="408" spans="1:8" ht="15.75" customHeight="1" x14ac:dyDescent="0.25">
      <c r="A408" s="3">
        <v>406</v>
      </c>
      <c r="B408" s="3">
        <v>407</v>
      </c>
      <c r="C408" s="3">
        <v>0.2576</v>
      </c>
      <c r="D408" s="3">
        <v>0.93</v>
      </c>
      <c r="E408" s="3">
        <v>8.9599999999999999E-2</v>
      </c>
      <c r="F408" s="3">
        <v>0</v>
      </c>
      <c r="G408" s="3">
        <v>33</v>
      </c>
      <c r="H408" s="3">
        <v>33</v>
      </c>
    </row>
    <row r="409" spans="1:8" ht="15.75" customHeight="1" x14ac:dyDescent="0.25">
      <c r="A409" s="3">
        <v>407</v>
      </c>
      <c r="B409" s="3">
        <v>408</v>
      </c>
      <c r="C409" s="3">
        <v>0.2727</v>
      </c>
      <c r="D409" s="3">
        <v>0.93</v>
      </c>
      <c r="E409" s="3">
        <v>0</v>
      </c>
      <c r="F409" s="3">
        <v>1</v>
      </c>
      <c r="G409" s="3">
        <v>19</v>
      </c>
      <c r="H409" s="3">
        <v>20</v>
      </c>
    </row>
    <row r="410" spans="1:8" ht="15.75" customHeight="1" x14ac:dyDescent="0.25">
      <c r="A410" s="3">
        <v>408</v>
      </c>
      <c r="B410" s="3">
        <v>409</v>
      </c>
      <c r="C410" s="3">
        <v>0.2727</v>
      </c>
      <c r="D410" s="3">
        <v>0.93</v>
      </c>
      <c r="E410" s="3">
        <v>0</v>
      </c>
      <c r="F410" s="3">
        <v>0</v>
      </c>
      <c r="G410" s="3">
        <v>3</v>
      </c>
      <c r="H410" s="3">
        <v>3</v>
      </c>
    </row>
    <row r="411" spans="1:8" ht="15.75" customHeight="1" x14ac:dyDescent="0.25">
      <c r="A411" s="3">
        <v>409</v>
      </c>
      <c r="B411" s="3">
        <v>410</v>
      </c>
      <c r="C411" s="3">
        <v>0.2273</v>
      </c>
      <c r="D411" s="3">
        <v>0.93</v>
      </c>
      <c r="E411" s="3">
        <v>0.1343</v>
      </c>
      <c r="F411" s="3">
        <v>1</v>
      </c>
      <c r="G411" s="3">
        <v>6</v>
      </c>
      <c r="H411" s="3">
        <v>7</v>
      </c>
    </row>
    <row r="412" spans="1:8" ht="15.75" customHeight="1" x14ac:dyDescent="0.25">
      <c r="A412" s="3">
        <v>410</v>
      </c>
      <c r="B412" s="3">
        <v>411</v>
      </c>
      <c r="C412" s="3">
        <v>0.2273</v>
      </c>
      <c r="D412" s="3">
        <v>0.93</v>
      </c>
      <c r="E412" s="3">
        <v>0.1343</v>
      </c>
      <c r="F412" s="3">
        <v>0</v>
      </c>
      <c r="G412" s="3">
        <v>3</v>
      </c>
      <c r="H412" s="3">
        <v>3</v>
      </c>
    </row>
    <row r="413" spans="1:8" ht="15.75" customHeight="1" x14ac:dyDescent="0.25">
      <c r="A413" s="3">
        <v>411</v>
      </c>
      <c r="B413" s="3">
        <v>412</v>
      </c>
      <c r="C413" s="3">
        <v>0.2273</v>
      </c>
      <c r="D413" s="3">
        <v>0.93</v>
      </c>
      <c r="E413" s="3">
        <v>0.1343</v>
      </c>
      <c r="F413" s="3">
        <v>1</v>
      </c>
      <c r="G413" s="3">
        <v>1</v>
      </c>
      <c r="H413" s="3">
        <v>2</v>
      </c>
    </row>
    <row r="414" spans="1:8" ht="15.75" customHeight="1" x14ac:dyDescent="0.25">
      <c r="A414" s="3">
        <v>412</v>
      </c>
      <c r="B414" s="3">
        <v>413</v>
      </c>
      <c r="C414" s="3">
        <v>0.2576</v>
      </c>
      <c r="D414" s="3">
        <v>0.93</v>
      </c>
      <c r="E414" s="3">
        <v>8.9599999999999999E-2</v>
      </c>
      <c r="F414" s="3">
        <v>0</v>
      </c>
      <c r="G414" s="3">
        <v>7</v>
      </c>
      <c r="H414" s="3">
        <v>7</v>
      </c>
    </row>
    <row r="415" spans="1:8" ht="15.75" customHeight="1" x14ac:dyDescent="0.25">
      <c r="A415" s="3">
        <v>413</v>
      </c>
      <c r="B415" s="3">
        <v>414</v>
      </c>
      <c r="C415" s="3">
        <v>0.2576</v>
      </c>
      <c r="D415" s="3">
        <v>0.93</v>
      </c>
      <c r="E415" s="3">
        <v>8.9599999999999999E-2</v>
      </c>
      <c r="F415" s="3">
        <v>0</v>
      </c>
      <c r="G415" s="3">
        <v>32</v>
      </c>
      <c r="H415" s="3">
        <v>32</v>
      </c>
    </row>
    <row r="416" spans="1:8" ht="15.75" customHeight="1" x14ac:dyDescent="0.25">
      <c r="A416" s="3">
        <v>414</v>
      </c>
      <c r="B416" s="3">
        <v>415</v>
      </c>
      <c r="C416" s="3">
        <v>0.2576</v>
      </c>
      <c r="D416" s="3">
        <v>0.92</v>
      </c>
      <c r="E416" s="3">
        <v>0.1045</v>
      </c>
      <c r="F416" s="3">
        <v>1</v>
      </c>
      <c r="G416" s="3">
        <v>89</v>
      </c>
      <c r="H416" s="3">
        <v>90</v>
      </c>
    </row>
    <row r="417" spans="1:8" ht="15.75" customHeight="1" x14ac:dyDescent="0.25">
      <c r="A417" s="3">
        <v>415</v>
      </c>
      <c r="B417" s="3">
        <v>416</v>
      </c>
      <c r="C417" s="3">
        <v>0.2576</v>
      </c>
      <c r="D417" s="3">
        <v>0.93</v>
      </c>
      <c r="E417" s="3">
        <v>0.1045</v>
      </c>
      <c r="F417" s="3">
        <v>1</v>
      </c>
      <c r="G417" s="3">
        <v>196</v>
      </c>
      <c r="H417" s="3">
        <v>197</v>
      </c>
    </row>
    <row r="418" spans="1:8" ht="15.75" customHeight="1" x14ac:dyDescent="0.25">
      <c r="A418" s="3">
        <v>416</v>
      </c>
      <c r="B418" s="3">
        <v>417</v>
      </c>
      <c r="C418" s="3">
        <v>0.2576</v>
      </c>
      <c r="D418" s="3">
        <v>0.93</v>
      </c>
      <c r="E418" s="3">
        <v>0.1045</v>
      </c>
      <c r="F418" s="3">
        <v>2</v>
      </c>
      <c r="G418" s="3">
        <v>107</v>
      </c>
      <c r="H418" s="3">
        <v>109</v>
      </c>
    </row>
    <row r="419" spans="1:8" ht="15.75" customHeight="1" x14ac:dyDescent="0.25">
      <c r="A419" s="3">
        <v>417</v>
      </c>
      <c r="B419" s="3">
        <v>418</v>
      </c>
      <c r="C419" s="3">
        <v>0.2727</v>
      </c>
      <c r="D419" s="3">
        <v>0.93</v>
      </c>
      <c r="E419" s="3">
        <v>0.1343</v>
      </c>
      <c r="F419" s="3">
        <v>1</v>
      </c>
      <c r="G419" s="3">
        <v>46</v>
      </c>
      <c r="H419" s="3">
        <v>47</v>
      </c>
    </row>
    <row r="420" spans="1:8" ht="15.75" customHeight="1" x14ac:dyDescent="0.25">
      <c r="A420" s="3">
        <v>418</v>
      </c>
      <c r="B420" s="3">
        <v>419</v>
      </c>
      <c r="C420" s="3">
        <v>0.30299999999999999</v>
      </c>
      <c r="D420" s="3">
        <v>0.87</v>
      </c>
      <c r="E420" s="3">
        <v>8.9599999999999999E-2</v>
      </c>
      <c r="F420" s="3">
        <v>5</v>
      </c>
      <c r="G420" s="3">
        <v>47</v>
      </c>
      <c r="H420" s="3">
        <v>52</v>
      </c>
    </row>
    <row r="421" spans="1:8" ht="15.75" customHeight="1" x14ac:dyDescent="0.25">
      <c r="A421" s="3">
        <v>419</v>
      </c>
      <c r="B421" s="3">
        <v>420</v>
      </c>
      <c r="C421" s="3">
        <v>0.31819999999999998</v>
      </c>
      <c r="D421" s="3">
        <v>0.81</v>
      </c>
      <c r="E421" s="3">
        <v>8.9599999999999999E-2</v>
      </c>
      <c r="F421" s="3">
        <v>5</v>
      </c>
      <c r="G421" s="3">
        <v>65</v>
      </c>
      <c r="H421" s="3">
        <v>70</v>
      </c>
    </row>
    <row r="422" spans="1:8" ht="15.75" customHeight="1" x14ac:dyDescent="0.25">
      <c r="A422" s="3">
        <v>420</v>
      </c>
      <c r="B422" s="3">
        <v>421</v>
      </c>
      <c r="C422" s="3">
        <v>0.40910000000000002</v>
      </c>
      <c r="D422" s="3">
        <v>0.62</v>
      </c>
      <c r="E422" s="3">
        <v>0.28360000000000002</v>
      </c>
      <c r="F422" s="3">
        <v>11</v>
      </c>
      <c r="G422" s="3">
        <v>67</v>
      </c>
      <c r="H422" s="3">
        <v>78</v>
      </c>
    </row>
    <row r="423" spans="1:8" ht="15.75" customHeight="1" x14ac:dyDescent="0.25">
      <c r="A423" s="3">
        <v>421</v>
      </c>
      <c r="B423" s="3">
        <v>422</v>
      </c>
      <c r="C423" s="3">
        <v>0.40910000000000002</v>
      </c>
      <c r="D423" s="3">
        <v>0.57999999999999996</v>
      </c>
      <c r="E423" s="3">
        <v>0.25369999999999998</v>
      </c>
      <c r="F423" s="3">
        <v>7</v>
      </c>
      <c r="G423" s="3">
        <v>68</v>
      </c>
      <c r="H423" s="3">
        <v>75</v>
      </c>
    </row>
    <row r="424" spans="1:8" ht="15.75" customHeight="1" x14ac:dyDescent="0.25">
      <c r="A424" s="3">
        <v>422</v>
      </c>
      <c r="B424" s="3">
        <v>423</v>
      </c>
      <c r="C424" s="3">
        <v>0.40910000000000002</v>
      </c>
      <c r="D424" s="3">
        <v>0.54</v>
      </c>
      <c r="E424" s="3">
        <v>0.28360000000000002</v>
      </c>
      <c r="F424" s="3">
        <v>4</v>
      </c>
      <c r="G424" s="3">
        <v>78</v>
      </c>
      <c r="H424" s="3">
        <v>82</v>
      </c>
    </row>
    <row r="425" spans="1:8" ht="15.75" customHeight="1" x14ac:dyDescent="0.25">
      <c r="A425" s="3">
        <v>423</v>
      </c>
      <c r="B425" s="3">
        <v>424</v>
      </c>
      <c r="C425" s="3">
        <v>0.39389999999999997</v>
      </c>
      <c r="D425" s="3">
        <v>0.57999999999999996</v>
      </c>
      <c r="E425" s="3">
        <v>0.3881</v>
      </c>
      <c r="F425" s="3">
        <v>10</v>
      </c>
      <c r="G425" s="3">
        <v>94</v>
      </c>
      <c r="H425" s="3">
        <v>104</v>
      </c>
    </row>
    <row r="426" spans="1:8" ht="15.75" customHeight="1" x14ac:dyDescent="0.25">
      <c r="A426" s="3">
        <v>424</v>
      </c>
      <c r="B426" s="3">
        <v>425</v>
      </c>
      <c r="C426" s="3">
        <v>0.33329999999999999</v>
      </c>
      <c r="D426" s="3">
        <v>0.56999999999999995</v>
      </c>
      <c r="E426" s="3">
        <v>0.32840000000000003</v>
      </c>
      <c r="F426" s="3">
        <v>7</v>
      </c>
      <c r="G426" s="3">
        <v>190</v>
      </c>
      <c r="H426" s="3">
        <v>197</v>
      </c>
    </row>
    <row r="427" spans="1:8" ht="15.75" customHeight="1" x14ac:dyDescent="0.25">
      <c r="A427" s="3">
        <v>425</v>
      </c>
      <c r="B427" s="3">
        <v>426</v>
      </c>
      <c r="C427" s="3">
        <v>0.31819999999999998</v>
      </c>
      <c r="D427" s="3">
        <v>0.61</v>
      </c>
      <c r="E427" s="3">
        <v>0.28360000000000002</v>
      </c>
      <c r="F427" s="3">
        <v>5</v>
      </c>
      <c r="G427" s="3">
        <v>156</v>
      </c>
      <c r="H427" s="3">
        <v>161</v>
      </c>
    </row>
    <row r="428" spans="1:8" ht="15.75" customHeight="1" x14ac:dyDescent="0.25">
      <c r="A428" s="3">
        <v>426</v>
      </c>
      <c r="B428" s="3">
        <v>427</v>
      </c>
      <c r="C428" s="3">
        <v>0.28789999999999999</v>
      </c>
      <c r="D428" s="3">
        <v>0.56999999999999995</v>
      </c>
      <c r="E428" s="3">
        <v>0.41789999999999999</v>
      </c>
      <c r="F428" s="3">
        <v>4</v>
      </c>
      <c r="G428" s="3">
        <v>108</v>
      </c>
      <c r="H428" s="3">
        <v>112</v>
      </c>
    </row>
    <row r="429" spans="1:8" ht="15.75" customHeight="1" x14ac:dyDescent="0.25">
      <c r="A429" s="3">
        <v>427</v>
      </c>
      <c r="B429" s="3">
        <v>428</v>
      </c>
      <c r="C429" s="3">
        <v>0.30299999999999999</v>
      </c>
      <c r="D429" s="3">
        <v>0.49</v>
      </c>
      <c r="E429" s="3">
        <v>0.29849999999999999</v>
      </c>
      <c r="F429" s="3">
        <v>2</v>
      </c>
      <c r="G429" s="3">
        <v>74</v>
      </c>
      <c r="H429" s="3">
        <v>76</v>
      </c>
    </row>
    <row r="430" spans="1:8" ht="15.75" customHeight="1" x14ac:dyDescent="0.25">
      <c r="A430" s="3">
        <v>428</v>
      </c>
      <c r="B430" s="3">
        <v>429</v>
      </c>
      <c r="C430" s="3">
        <v>0.28789999999999999</v>
      </c>
      <c r="D430" s="3">
        <v>0.49</v>
      </c>
      <c r="E430" s="3">
        <v>0.41789999999999999</v>
      </c>
      <c r="F430" s="3">
        <v>4</v>
      </c>
      <c r="G430" s="3">
        <v>55</v>
      </c>
      <c r="H430" s="3">
        <v>59</v>
      </c>
    </row>
    <row r="431" spans="1:8" ht="15.75" customHeight="1" x14ac:dyDescent="0.25">
      <c r="A431" s="3">
        <v>429</v>
      </c>
      <c r="B431" s="3">
        <v>430</v>
      </c>
      <c r="C431" s="3">
        <v>0.30299999999999999</v>
      </c>
      <c r="D431" s="3">
        <v>0.52</v>
      </c>
      <c r="E431" s="3">
        <v>0.16420000000000001</v>
      </c>
      <c r="F431" s="3">
        <v>6</v>
      </c>
      <c r="G431" s="3">
        <v>53</v>
      </c>
      <c r="H431" s="3">
        <v>59</v>
      </c>
    </row>
    <row r="432" spans="1:8" ht="15.75" customHeight="1" x14ac:dyDescent="0.25">
      <c r="A432" s="3">
        <v>430</v>
      </c>
      <c r="B432" s="3">
        <v>431</v>
      </c>
      <c r="C432" s="3">
        <v>0.2727</v>
      </c>
      <c r="D432" s="3">
        <v>0.52</v>
      </c>
      <c r="E432" s="3">
        <v>0.4627</v>
      </c>
      <c r="F432" s="3">
        <v>1</v>
      </c>
      <c r="G432" s="3">
        <v>27</v>
      </c>
      <c r="H432" s="3">
        <v>28</v>
      </c>
    </row>
    <row r="433" spans="1:8" ht="15.75" customHeight="1" x14ac:dyDescent="0.25">
      <c r="A433" s="3">
        <v>431</v>
      </c>
      <c r="B433" s="3">
        <v>432</v>
      </c>
      <c r="C433" s="3">
        <v>0.2273</v>
      </c>
      <c r="D433" s="3">
        <v>0.56000000000000005</v>
      </c>
      <c r="E433" s="3">
        <v>0.3881</v>
      </c>
      <c r="F433" s="3">
        <v>5</v>
      </c>
      <c r="G433" s="3">
        <v>8</v>
      </c>
      <c r="H433" s="3">
        <v>13</v>
      </c>
    </row>
    <row r="434" spans="1:8" ht="15.75" customHeight="1" x14ac:dyDescent="0.25">
      <c r="A434" s="3">
        <v>432</v>
      </c>
      <c r="B434" s="3">
        <v>433</v>
      </c>
      <c r="C434" s="3">
        <v>0.2727</v>
      </c>
      <c r="D434" s="3">
        <v>0.56000000000000005</v>
      </c>
      <c r="E434" s="3">
        <v>0</v>
      </c>
      <c r="F434" s="3">
        <v>2</v>
      </c>
      <c r="G434" s="3">
        <v>3</v>
      </c>
      <c r="H434" s="3">
        <v>5</v>
      </c>
    </row>
    <row r="435" spans="1:8" ht="15.75" customHeight="1" x14ac:dyDescent="0.25">
      <c r="A435" s="3">
        <v>433</v>
      </c>
      <c r="B435" s="3">
        <v>434</v>
      </c>
      <c r="C435" s="3">
        <v>0.2727</v>
      </c>
      <c r="D435" s="3">
        <v>0.56000000000000005</v>
      </c>
      <c r="E435" s="3">
        <v>0</v>
      </c>
      <c r="F435" s="3">
        <v>0</v>
      </c>
      <c r="G435" s="3">
        <v>2</v>
      </c>
      <c r="H435" s="3">
        <v>2</v>
      </c>
    </row>
    <row r="436" spans="1:8" ht="15.75" customHeight="1" x14ac:dyDescent="0.25">
      <c r="A436" s="3">
        <v>434</v>
      </c>
      <c r="B436" s="3">
        <v>435</v>
      </c>
      <c r="C436" s="3">
        <v>0.2576</v>
      </c>
      <c r="D436" s="3">
        <v>0.56000000000000005</v>
      </c>
      <c r="E436" s="3">
        <v>0.16420000000000001</v>
      </c>
      <c r="F436" s="3">
        <v>0</v>
      </c>
      <c r="G436" s="3">
        <v>1</v>
      </c>
      <c r="H436" s="3">
        <v>1</v>
      </c>
    </row>
    <row r="437" spans="1:8" ht="15.75" customHeight="1" x14ac:dyDescent="0.25">
      <c r="A437" s="3">
        <v>435</v>
      </c>
      <c r="B437" s="3">
        <v>436</v>
      </c>
      <c r="C437" s="3">
        <v>0.2576</v>
      </c>
      <c r="D437" s="3">
        <v>0.56000000000000005</v>
      </c>
      <c r="E437" s="3">
        <v>0.16420000000000001</v>
      </c>
      <c r="F437" s="3">
        <v>0</v>
      </c>
      <c r="G437" s="3">
        <v>1</v>
      </c>
      <c r="H437" s="3">
        <v>1</v>
      </c>
    </row>
    <row r="438" spans="1:8" ht="15.75" customHeight="1" x14ac:dyDescent="0.25">
      <c r="A438" s="3">
        <v>436</v>
      </c>
      <c r="B438" s="3">
        <v>437</v>
      </c>
      <c r="C438" s="3">
        <v>0.2273</v>
      </c>
      <c r="D438" s="3">
        <v>0.6</v>
      </c>
      <c r="E438" s="3">
        <v>0.22389999999999999</v>
      </c>
      <c r="F438" s="3">
        <v>0</v>
      </c>
      <c r="G438" s="3">
        <v>6</v>
      </c>
      <c r="H438" s="3">
        <v>6</v>
      </c>
    </row>
    <row r="439" spans="1:8" ht="15.75" customHeight="1" x14ac:dyDescent="0.25">
      <c r="A439" s="3">
        <v>437</v>
      </c>
      <c r="B439" s="3">
        <v>438</v>
      </c>
      <c r="C439" s="3">
        <v>0.21210000000000001</v>
      </c>
      <c r="D439" s="3">
        <v>0.6</v>
      </c>
      <c r="E439" s="3">
        <v>0.22389999999999999</v>
      </c>
      <c r="F439" s="3">
        <v>0</v>
      </c>
      <c r="G439" s="3">
        <v>35</v>
      </c>
      <c r="H439" s="3">
        <v>35</v>
      </c>
    </row>
    <row r="440" spans="1:8" ht="15.75" customHeight="1" x14ac:dyDescent="0.25">
      <c r="A440" s="3">
        <v>438</v>
      </c>
      <c r="B440" s="3">
        <v>439</v>
      </c>
      <c r="C440" s="3">
        <v>0.21210000000000001</v>
      </c>
      <c r="D440" s="3">
        <v>0.55000000000000004</v>
      </c>
      <c r="E440" s="3">
        <v>0.22389999999999999</v>
      </c>
      <c r="F440" s="3">
        <v>1</v>
      </c>
      <c r="G440" s="3">
        <v>100</v>
      </c>
      <c r="H440" s="3">
        <v>101</v>
      </c>
    </row>
    <row r="441" spans="1:8" ht="15.75" customHeight="1" x14ac:dyDescent="0.25">
      <c r="A441" s="3">
        <v>439</v>
      </c>
      <c r="B441" s="3">
        <v>440</v>
      </c>
      <c r="C441" s="3">
        <v>0.21210000000000001</v>
      </c>
      <c r="D441" s="3">
        <v>0.55000000000000004</v>
      </c>
      <c r="E441" s="3">
        <v>0.28360000000000002</v>
      </c>
      <c r="F441" s="3">
        <v>2</v>
      </c>
      <c r="G441" s="3">
        <v>247</v>
      </c>
      <c r="H441" s="3">
        <v>249</v>
      </c>
    </row>
    <row r="442" spans="1:8" ht="15.75" customHeight="1" x14ac:dyDescent="0.25">
      <c r="A442" s="3">
        <v>440</v>
      </c>
      <c r="B442" s="3">
        <v>441</v>
      </c>
      <c r="C442" s="3">
        <v>0.2273</v>
      </c>
      <c r="D442" s="3">
        <v>0.52</v>
      </c>
      <c r="E442" s="3">
        <v>0.22389999999999999</v>
      </c>
      <c r="F442" s="3">
        <v>3</v>
      </c>
      <c r="G442" s="3">
        <v>140</v>
      </c>
      <c r="H442" s="3">
        <v>143</v>
      </c>
    </row>
    <row r="443" spans="1:8" ht="15.75" customHeight="1" x14ac:dyDescent="0.25">
      <c r="A443" s="3">
        <v>441</v>
      </c>
      <c r="B443" s="3">
        <v>442</v>
      </c>
      <c r="C443" s="3">
        <v>0.2273</v>
      </c>
      <c r="D443" s="3">
        <v>0.48</v>
      </c>
      <c r="E443" s="3">
        <v>0.29849999999999999</v>
      </c>
      <c r="F443" s="3">
        <v>1</v>
      </c>
      <c r="G443" s="3">
        <v>56</v>
      </c>
      <c r="H443" s="3">
        <v>57</v>
      </c>
    </row>
    <row r="444" spans="1:8" ht="15.75" customHeight="1" x14ac:dyDescent="0.25">
      <c r="A444" s="3">
        <v>442</v>
      </c>
      <c r="B444" s="3">
        <v>443</v>
      </c>
      <c r="C444" s="3">
        <v>0.2727</v>
      </c>
      <c r="D444" s="3">
        <v>0.45</v>
      </c>
      <c r="E444" s="3">
        <v>0.16420000000000001</v>
      </c>
      <c r="F444" s="3">
        <v>5</v>
      </c>
      <c r="G444" s="3">
        <v>63</v>
      </c>
      <c r="H444" s="3">
        <v>68</v>
      </c>
    </row>
    <row r="445" spans="1:8" ht="15.75" customHeight="1" x14ac:dyDescent="0.25">
      <c r="A445" s="3">
        <v>443</v>
      </c>
      <c r="B445" s="3">
        <v>444</v>
      </c>
      <c r="C445" s="3">
        <v>0.33329999999999999</v>
      </c>
      <c r="D445" s="3">
        <v>0.42</v>
      </c>
      <c r="E445" s="3">
        <v>0</v>
      </c>
      <c r="F445" s="3">
        <v>7</v>
      </c>
      <c r="G445" s="3">
        <v>77</v>
      </c>
      <c r="H445" s="3">
        <v>84</v>
      </c>
    </row>
    <row r="446" spans="1:8" ht="15.75" customHeight="1" x14ac:dyDescent="0.25">
      <c r="A446" s="3">
        <v>444</v>
      </c>
      <c r="B446" s="3">
        <v>445</v>
      </c>
      <c r="C446" s="3">
        <v>0.28789999999999999</v>
      </c>
      <c r="D446" s="3">
        <v>0.45</v>
      </c>
      <c r="E446" s="3">
        <v>0.1045</v>
      </c>
      <c r="F446" s="3">
        <v>12</v>
      </c>
      <c r="G446" s="3">
        <v>86</v>
      </c>
      <c r="H446" s="3">
        <v>98</v>
      </c>
    </row>
    <row r="447" spans="1:8" ht="15.75" customHeight="1" x14ac:dyDescent="0.25">
      <c r="A447" s="3">
        <v>445</v>
      </c>
      <c r="B447" s="3">
        <v>446</v>
      </c>
      <c r="C447" s="3">
        <v>0.30299999999999999</v>
      </c>
      <c r="D447" s="3">
        <v>0.45</v>
      </c>
      <c r="E447" s="3">
        <v>0.1343</v>
      </c>
      <c r="F447" s="3">
        <v>6</v>
      </c>
      <c r="G447" s="3">
        <v>75</v>
      </c>
      <c r="H447" s="3">
        <v>81</v>
      </c>
    </row>
    <row r="448" spans="1:8" ht="15.75" customHeight="1" x14ac:dyDescent="0.25">
      <c r="A448" s="3">
        <v>446</v>
      </c>
      <c r="B448" s="3">
        <v>447</v>
      </c>
      <c r="C448" s="3">
        <v>0.31819999999999998</v>
      </c>
      <c r="D448" s="3">
        <v>0.45</v>
      </c>
      <c r="E448" s="3">
        <v>0.19400000000000001</v>
      </c>
      <c r="F448" s="3">
        <v>8</v>
      </c>
      <c r="G448" s="3">
        <v>62</v>
      </c>
      <c r="H448" s="3">
        <v>70</v>
      </c>
    </row>
    <row r="449" spans="1:8" ht="15.75" customHeight="1" x14ac:dyDescent="0.25">
      <c r="A449" s="3">
        <v>447</v>
      </c>
      <c r="B449" s="3">
        <v>448</v>
      </c>
      <c r="C449" s="3">
        <v>0.30299999999999999</v>
      </c>
      <c r="D449" s="3">
        <v>0.49</v>
      </c>
      <c r="E449" s="3">
        <v>0.1343</v>
      </c>
      <c r="F449" s="3">
        <v>8</v>
      </c>
      <c r="G449" s="3">
        <v>83</v>
      </c>
      <c r="H449" s="3">
        <v>91</v>
      </c>
    </row>
    <row r="450" spans="1:8" ht="15.75" customHeight="1" x14ac:dyDescent="0.25">
      <c r="A450" s="3">
        <v>448</v>
      </c>
      <c r="B450" s="3">
        <v>449</v>
      </c>
      <c r="C450" s="3">
        <v>0.31819999999999998</v>
      </c>
      <c r="D450" s="3">
        <v>0.49</v>
      </c>
      <c r="E450" s="3">
        <v>0.1045</v>
      </c>
      <c r="F450" s="3">
        <v>8</v>
      </c>
      <c r="G450" s="3">
        <v>207</v>
      </c>
      <c r="H450" s="3">
        <v>215</v>
      </c>
    </row>
    <row r="451" spans="1:8" ht="15.75" customHeight="1" x14ac:dyDescent="0.25">
      <c r="A451" s="3">
        <v>449</v>
      </c>
      <c r="B451" s="3">
        <v>450</v>
      </c>
      <c r="C451" s="3">
        <v>0.2576</v>
      </c>
      <c r="D451" s="3">
        <v>0.56000000000000005</v>
      </c>
      <c r="E451" s="3">
        <v>0.19400000000000001</v>
      </c>
      <c r="F451" s="3">
        <v>1</v>
      </c>
      <c r="G451" s="3">
        <v>184</v>
      </c>
      <c r="H451" s="3">
        <v>185</v>
      </c>
    </row>
    <row r="452" spans="1:8" ht="15.75" customHeight="1" x14ac:dyDescent="0.25">
      <c r="A452" s="3">
        <v>450</v>
      </c>
      <c r="B452" s="3">
        <v>451</v>
      </c>
      <c r="C452" s="3">
        <v>0.2273</v>
      </c>
      <c r="D452" s="3">
        <v>0.56000000000000005</v>
      </c>
      <c r="E452" s="3">
        <v>0.32840000000000003</v>
      </c>
      <c r="F452" s="3">
        <v>6</v>
      </c>
      <c r="G452" s="3">
        <v>146</v>
      </c>
      <c r="H452" s="3">
        <v>152</v>
      </c>
    </row>
    <row r="453" spans="1:8" ht="15.75" customHeight="1" x14ac:dyDescent="0.25">
      <c r="A453" s="3">
        <v>451</v>
      </c>
      <c r="B453" s="3">
        <v>452</v>
      </c>
      <c r="C453" s="3">
        <v>0.2424</v>
      </c>
      <c r="D453" s="3">
        <v>0.6</v>
      </c>
      <c r="E453" s="3">
        <v>0.28360000000000002</v>
      </c>
      <c r="F453" s="3">
        <v>2</v>
      </c>
      <c r="G453" s="3">
        <v>124</v>
      </c>
      <c r="H453" s="3">
        <v>126</v>
      </c>
    </row>
    <row r="454" spans="1:8" ht="15.75" customHeight="1" x14ac:dyDescent="0.25">
      <c r="A454" s="3">
        <v>452</v>
      </c>
      <c r="B454" s="3">
        <v>453</v>
      </c>
      <c r="C454" s="3">
        <v>0.2273</v>
      </c>
      <c r="D454" s="3">
        <v>0.6</v>
      </c>
      <c r="E454" s="3">
        <v>0.25369999999999998</v>
      </c>
      <c r="F454" s="3">
        <v>3</v>
      </c>
      <c r="G454" s="3">
        <v>54</v>
      </c>
      <c r="H454" s="3">
        <v>57</v>
      </c>
    </row>
    <row r="455" spans="1:8" ht="15.75" customHeight="1" x14ac:dyDescent="0.25">
      <c r="A455" s="3">
        <v>453</v>
      </c>
      <c r="B455" s="3">
        <v>454</v>
      </c>
      <c r="C455" s="3">
        <v>0.21210000000000001</v>
      </c>
      <c r="D455" s="3">
        <v>0.65</v>
      </c>
      <c r="E455" s="3">
        <v>0.28360000000000002</v>
      </c>
      <c r="F455" s="3">
        <v>0</v>
      </c>
      <c r="G455" s="3">
        <v>56</v>
      </c>
      <c r="H455" s="3">
        <v>56</v>
      </c>
    </row>
    <row r="456" spans="1:8" ht="15.75" customHeight="1" x14ac:dyDescent="0.25">
      <c r="A456" s="3">
        <v>454</v>
      </c>
      <c r="B456" s="3">
        <v>455</v>
      </c>
      <c r="C456" s="3">
        <v>0.21210000000000001</v>
      </c>
      <c r="D456" s="3">
        <v>0.65</v>
      </c>
      <c r="E456" s="3">
        <v>0.32840000000000003</v>
      </c>
      <c r="F456" s="3">
        <v>3</v>
      </c>
      <c r="G456" s="3">
        <v>28</v>
      </c>
      <c r="H456" s="3">
        <v>31</v>
      </c>
    </row>
    <row r="457" spans="1:8" ht="15.75" customHeight="1" x14ac:dyDescent="0.25">
      <c r="A457" s="3">
        <v>455</v>
      </c>
      <c r="B457" s="3">
        <v>456</v>
      </c>
      <c r="C457" s="3">
        <v>0.2273</v>
      </c>
      <c r="D457" s="3">
        <v>0.7</v>
      </c>
      <c r="E457" s="3">
        <v>0.25369999999999998</v>
      </c>
      <c r="F457" s="3">
        <v>1</v>
      </c>
      <c r="G457" s="3">
        <v>20</v>
      </c>
      <c r="H457" s="3">
        <v>21</v>
      </c>
    </row>
    <row r="458" spans="1:8" ht="15.75" customHeight="1" x14ac:dyDescent="0.25">
      <c r="A458" s="3">
        <v>456</v>
      </c>
      <c r="B458" s="3">
        <v>457</v>
      </c>
      <c r="C458" s="3">
        <v>0.2273</v>
      </c>
      <c r="D458" s="3">
        <v>0.7</v>
      </c>
      <c r="E458" s="3">
        <v>0.25369999999999998</v>
      </c>
      <c r="F458" s="3">
        <v>0</v>
      </c>
      <c r="G458" s="3">
        <v>6</v>
      </c>
      <c r="H458" s="3">
        <v>6</v>
      </c>
    </row>
    <row r="459" spans="1:8" ht="15.75" customHeight="1" x14ac:dyDescent="0.25">
      <c r="A459" s="3">
        <v>457</v>
      </c>
      <c r="B459" s="3">
        <v>458</v>
      </c>
      <c r="C459" s="3">
        <v>0.2424</v>
      </c>
      <c r="D459" s="3">
        <v>0.75</v>
      </c>
      <c r="E459" s="3">
        <v>0.16420000000000001</v>
      </c>
      <c r="F459" s="3">
        <v>0</v>
      </c>
      <c r="G459" s="3">
        <v>2</v>
      </c>
      <c r="H459" s="3">
        <v>2</v>
      </c>
    </row>
    <row r="460" spans="1:8" ht="15.75" customHeight="1" x14ac:dyDescent="0.25">
      <c r="A460" s="3">
        <v>458</v>
      </c>
      <c r="B460" s="3">
        <v>459</v>
      </c>
      <c r="C460" s="3">
        <v>0.21210000000000001</v>
      </c>
      <c r="D460" s="3">
        <v>0.8</v>
      </c>
      <c r="E460" s="3">
        <v>0.29849999999999999</v>
      </c>
      <c r="F460" s="3">
        <v>0</v>
      </c>
      <c r="G460" s="3">
        <v>1</v>
      </c>
      <c r="H460" s="3">
        <v>1</v>
      </c>
    </row>
    <row r="461" spans="1:8" ht="15.75" customHeight="1" x14ac:dyDescent="0.25">
      <c r="A461" s="3">
        <v>459</v>
      </c>
      <c r="B461" s="3">
        <v>460</v>
      </c>
      <c r="C461" s="3">
        <v>0.2576</v>
      </c>
      <c r="D461" s="3">
        <v>0.87</v>
      </c>
      <c r="E461" s="3">
        <v>8.9599999999999999E-2</v>
      </c>
      <c r="F461" s="3">
        <v>0</v>
      </c>
      <c r="G461" s="3">
        <v>1</v>
      </c>
      <c r="H461" s="3">
        <v>1</v>
      </c>
    </row>
    <row r="462" spans="1:8" ht="15.75" customHeight="1" x14ac:dyDescent="0.25">
      <c r="A462" s="3">
        <v>460</v>
      </c>
      <c r="B462" s="3">
        <v>461</v>
      </c>
      <c r="C462" s="3">
        <v>0.19700000000000001</v>
      </c>
      <c r="D462" s="3">
        <v>0.6</v>
      </c>
      <c r="E462" s="3">
        <v>0.41789999999999999</v>
      </c>
      <c r="F462" s="3">
        <v>1</v>
      </c>
      <c r="G462" s="3">
        <v>4</v>
      </c>
      <c r="H462" s="3">
        <v>5</v>
      </c>
    </row>
    <row r="463" spans="1:8" ht="15.75" customHeight="1" x14ac:dyDescent="0.25">
      <c r="A463" s="3">
        <v>461</v>
      </c>
      <c r="B463" s="3">
        <v>462</v>
      </c>
      <c r="C463" s="3">
        <v>0.21210000000000001</v>
      </c>
      <c r="D463" s="3">
        <v>0.55000000000000004</v>
      </c>
      <c r="E463" s="3">
        <v>0.25369999999999998</v>
      </c>
      <c r="F463" s="3">
        <v>0</v>
      </c>
      <c r="G463" s="3">
        <v>27</v>
      </c>
      <c r="H463" s="3">
        <v>27</v>
      </c>
    </row>
    <row r="464" spans="1:8" ht="15.75" customHeight="1" x14ac:dyDescent="0.25">
      <c r="A464" s="3">
        <v>462</v>
      </c>
      <c r="B464" s="3">
        <v>463</v>
      </c>
      <c r="C464" s="3">
        <v>0.18179999999999999</v>
      </c>
      <c r="D464" s="3">
        <v>0.51</v>
      </c>
      <c r="E464" s="3">
        <v>0.28360000000000002</v>
      </c>
      <c r="F464" s="3">
        <v>2</v>
      </c>
      <c r="G464" s="3">
        <v>66</v>
      </c>
      <c r="H464" s="3">
        <v>68</v>
      </c>
    </row>
    <row r="465" spans="1:8" ht="15.75" customHeight="1" x14ac:dyDescent="0.25">
      <c r="A465" s="3">
        <v>463</v>
      </c>
      <c r="B465" s="3">
        <v>464</v>
      </c>
      <c r="C465" s="3">
        <v>0.18179999999999999</v>
      </c>
      <c r="D465" s="3">
        <v>0.47</v>
      </c>
      <c r="E465" s="3">
        <v>0.32840000000000003</v>
      </c>
      <c r="F465" s="3">
        <v>7</v>
      </c>
      <c r="G465" s="3">
        <v>210</v>
      </c>
      <c r="H465" s="3">
        <v>217</v>
      </c>
    </row>
    <row r="466" spans="1:8" ht="15.75" customHeight="1" x14ac:dyDescent="0.25">
      <c r="A466" s="3">
        <v>464</v>
      </c>
      <c r="B466" s="3">
        <v>465</v>
      </c>
      <c r="C466" s="3">
        <v>0.18179999999999999</v>
      </c>
      <c r="D466" s="3">
        <v>0.51</v>
      </c>
      <c r="E466" s="3">
        <v>0.35820000000000002</v>
      </c>
      <c r="F466" s="3">
        <v>7</v>
      </c>
      <c r="G466" s="3">
        <v>159</v>
      </c>
      <c r="H466" s="3">
        <v>166</v>
      </c>
    </row>
    <row r="467" spans="1:8" ht="15.75" customHeight="1" x14ac:dyDescent="0.25">
      <c r="A467" s="3">
        <v>465</v>
      </c>
      <c r="B467" s="3">
        <v>466</v>
      </c>
      <c r="C467" s="3">
        <v>0.16669999999999999</v>
      </c>
      <c r="D467" s="3">
        <v>0.47</v>
      </c>
      <c r="E467" s="3">
        <v>0.4627</v>
      </c>
      <c r="F467" s="3">
        <v>6</v>
      </c>
      <c r="G467" s="3">
        <v>57</v>
      </c>
      <c r="H467" s="3">
        <v>63</v>
      </c>
    </row>
    <row r="468" spans="1:8" ht="15.75" customHeight="1" x14ac:dyDescent="0.25">
      <c r="A468" s="3">
        <v>466</v>
      </c>
      <c r="B468" s="3">
        <v>467</v>
      </c>
      <c r="C468" s="3">
        <v>0.18179999999999999</v>
      </c>
      <c r="D468" s="3">
        <v>0.41</v>
      </c>
      <c r="E468" s="3">
        <v>0.4627</v>
      </c>
      <c r="F468" s="3">
        <v>6</v>
      </c>
      <c r="G468" s="3">
        <v>53</v>
      </c>
      <c r="H468" s="3">
        <v>59</v>
      </c>
    </row>
    <row r="469" spans="1:8" ht="15.75" customHeight="1" x14ac:dyDescent="0.25">
      <c r="A469" s="3">
        <v>467</v>
      </c>
      <c r="B469" s="3">
        <v>468</v>
      </c>
      <c r="C469" s="3">
        <v>0.18179999999999999</v>
      </c>
      <c r="D469" s="3">
        <v>0.27</v>
      </c>
      <c r="E469" s="3">
        <v>0.58209999999999995</v>
      </c>
      <c r="F469" s="3">
        <v>11</v>
      </c>
      <c r="G469" s="3">
        <v>67</v>
      </c>
      <c r="H469" s="3">
        <v>78</v>
      </c>
    </row>
    <row r="470" spans="1:8" ht="15.75" customHeight="1" x14ac:dyDescent="0.25">
      <c r="A470" s="3">
        <v>468</v>
      </c>
      <c r="B470" s="3">
        <v>469</v>
      </c>
      <c r="C470" s="3">
        <v>0.1515</v>
      </c>
      <c r="D470" s="3">
        <v>0.21</v>
      </c>
      <c r="E470" s="3">
        <v>0.58209999999999995</v>
      </c>
      <c r="F470" s="3">
        <v>8</v>
      </c>
      <c r="G470" s="3">
        <v>65</v>
      </c>
      <c r="H470" s="3">
        <v>73</v>
      </c>
    </row>
    <row r="471" spans="1:8" ht="15.75" customHeight="1" x14ac:dyDescent="0.25">
      <c r="A471" s="3">
        <v>469</v>
      </c>
      <c r="B471" s="3">
        <v>470</v>
      </c>
      <c r="C471" s="3">
        <v>0.1515</v>
      </c>
      <c r="D471" s="3">
        <v>0.25</v>
      </c>
      <c r="E471" s="3">
        <v>0.52239999999999998</v>
      </c>
      <c r="F471" s="3">
        <v>6</v>
      </c>
      <c r="G471" s="3">
        <v>56</v>
      </c>
      <c r="H471" s="3">
        <v>62</v>
      </c>
    </row>
    <row r="472" spans="1:8" ht="15.75" customHeight="1" x14ac:dyDescent="0.25">
      <c r="A472" s="3">
        <v>470</v>
      </c>
      <c r="B472" s="3">
        <v>471</v>
      </c>
      <c r="C472" s="3">
        <v>0.1212</v>
      </c>
      <c r="D472" s="3">
        <v>0.26</v>
      </c>
      <c r="E472" s="3">
        <v>0.44779999999999998</v>
      </c>
      <c r="F472" s="3">
        <v>4</v>
      </c>
      <c r="G472" s="3">
        <v>61</v>
      </c>
      <c r="H472" s="3">
        <v>65</v>
      </c>
    </row>
    <row r="473" spans="1:8" ht="15.75" customHeight="1" x14ac:dyDescent="0.25">
      <c r="A473" s="3">
        <v>471</v>
      </c>
      <c r="B473" s="3">
        <v>472</v>
      </c>
      <c r="C473" s="3">
        <v>0.13639999999999999</v>
      </c>
      <c r="D473" s="3">
        <v>0.26</v>
      </c>
      <c r="E473" s="3">
        <v>0.35820000000000002</v>
      </c>
      <c r="F473" s="3">
        <v>0</v>
      </c>
      <c r="G473" s="3">
        <v>97</v>
      </c>
      <c r="H473" s="3">
        <v>97</v>
      </c>
    </row>
    <row r="474" spans="1:8" ht="15.75" customHeight="1" x14ac:dyDescent="0.25">
      <c r="A474" s="3">
        <v>472</v>
      </c>
      <c r="B474" s="3">
        <v>473</v>
      </c>
      <c r="C474" s="3">
        <v>0.1212</v>
      </c>
      <c r="D474" s="3">
        <v>0.28000000000000003</v>
      </c>
      <c r="E474" s="3">
        <v>0.35820000000000002</v>
      </c>
      <c r="F474" s="3">
        <v>10</v>
      </c>
      <c r="G474" s="3">
        <v>151</v>
      </c>
      <c r="H474" s="3">
        <v>161</v>
      </c>
    </row>
    <row r="475" spans="1:8" ht="15.75" customHeight="1" x14ac:dyDescent="0.25">
      <c r="A475" s="3">
        <v>473</v>
      </c>
      <c r="B475" s="3">
        <v>474</v>
      </c>
      <c r="C475" s="3">
        <v>0.1212</v>
      </c>
      <c r="D475" s="3">
        <v>0.3</v>
      </c>
      <c r="E475" s="3">
        <v>0.25369999999999998</v>
      </c>
      <c r="F475" s="3">
        <v>1</v>
      </c>
      <c r="G475" s="3">
        <v>119</v>
      </c>
      <c r="H475" s="3">
        <v>120</v>
      </c>
    </row>
    <row r="476" spans="1:8" ht="15.75" customHeight="1" x14ac:dyDescent="0.25">
      <c r="A476" s="3">
        <v>474</v>
      </c>
      <c r="B476" s="3">
        <v>475</v>
      </c>
      <c r="C476" s="3">
        <v>0.1061</v>
      </c>
      <c r="D476" s="3">
        <v>0.3</v>
      </c>
      <c r="E476" s="3">
        <v>0.32840000000000003</v>
      </c>
      <c r="F476" s="3">
        <v>3</v>
      </c>
      <c r="G476" s="3">
        <v>93</v>
      </c>
      <c r="H476" s="3">
        <v>96</v>
      </c>
    </row>
    <row r="477" spans="1:8" ht="15.75" customHeight="1" x14ac:dyDescent="0.25">
      <c r="A477" s="3">
        <v>475</v>
      </c>
      <c r="B477" s="3">
        <v>476</v>
      </c>
      <c r="C477" s="3">
        <v>7.5800000000000006E-2</v>
      </c>
      <c r="D477" s="3">
        <v>0.33</v>
      </c>
      <c r="E477" s="3">
        <v>0.41789999999999999</v>
      </c>
      <c r="F477" s="3">
        <v>1</v>
      </c>
      <c r="G477" s="3">
        <v>52</v>
      </c>
      <c r="H477" s="3">
        <v>53</v>
      </c>
    </row>
    <row r="478" spans="1:8" ht="15.75" customHeight="1" x14ac:dyDescent="0.25">
      <c r="A478" s="3">
        <v>476</v>
      </c>
      <c r="B478" s="3">
        <v>477</v>
      </c>
      <c r="C478" s="3">
        <v>7.5800000000000006E-2</v>
      </c>
      <c r="D478" s="3">
        <v>0.38</v>
      </c>
      <c r="E478" s="3">
        <v>0.28360000000000002</v>
      </c>
      <c r="F478" s="3">
        <v>0</v>
      </c>
      <c r="G478" s="3">
        <v>41</v>
      </c>
      <c r="H478" s="3">
        <v>41</v>
      </c>
    </row>
    <row r="479" spans="1:8" ht="15.75" customHeight="1" x14ac:dyDescent="0.25">
      <c r="A479" s="3">
        <v>477</v>
      </c>
      <c r="B479" s="3">
        <v>478</v>
      </c>
      <c r="C479" s="3">
        <v>3.0300000000000001E-2</v>
      </c>
      <c r="D479" s="3">
        <v>0.41</v>
      </c>
      <c r="E479" s="3">
        <v>0.3881</v>
      </c>
      <c r="F479" s="3">
        <v>1</v>
      </c>
      <c r="G479" s="3">
        <v>33</v>
      </c>
      <c r="H479" s="3">
        <v>34</v>
      </c>
    </row>
    <row r="480" spans="1:8" ht="15.75" customHeight="1" x14ac:dyDescent="0.25">
      <c r="A480" s="3">
        <v>478</v>
      </c>
      <c r="B480" s="3">
        <v>479</v>
      </c>
      <c r="C480" s="3">
        <v>4.5499999999999999E-2</v>
      </c>
      <c r="D480" s="3">
        <v>0.38</v>
      </c>
      <c r="E480" s="3">
        <v>0.32840000000000003</v>
      </c>
      <c r="F480" s="3">
        <v>0</v>
      </c>
      <c r="G480" s="3">
        <v>27</v>
      </c>
      <c r="H480" s="3">
        <v>27</v>
      </c>
    </row>
    <row r="481" spans="1:8" ht="15.75" customHeight="1" x14ac:dyDescent="0.25">
      <c r="A481" s="3">
        <v>479</v>
      </c>
      <c r="B481" s="3">
        <v>480</v>
      </c>
      <c r="C481" s="3">
        <v>3.0300000000000001E-2</v>
      </c>
      <c r="D481" s="3">
        <v>0.45</v>
      </c>
      <c r="E481" s="3">
        <v>0.25369999999999998</v>
      </c>
      <c r="F481" s="3">
        <v>0</v>
      </c>
      <c r="G481" s="3">
        <v>13</v>
      </c>
      <c r="H481" s="3">
        <v>13</v>
      </c>
    </row>
    <row r="482" spans="1:8" ht="15.75" customHeight="1" x14ac:dyDescent="0.25">
      <c r="A482" s="3">
        <v>480</v>
      </c>
      <c r="B482" s="3">
        <v>481</v>
      </c>
      <c r="C482" s="3">
        <v>0</v>
      </c>
      <c r="D482" s="3">
        <v>0.41</v>
      </c>
      <c r="E482" s="3">
        <v>0.3881</v>
      </c>
      <c r="F482" s="3">
        <v>3</v>
      </c>
      <c r="G482" s="3">
        <v>9</v>
      </c>
      <c r="H482" s="3">
        <v>12</v>
      </c>
    </row>
    <row r="483" spans="1:8" ht="15.75" customHeight="1" x14ac:dyDescent="0.25">
      <c r="A483" s="3">
        <v>481</v>
      </c>
      <c r="B483" s="3">
        <v>482</v>
      </c>
      <c r="C483" s="3">
        <v>3.0300000000000001E-2</v>
      </c>
      <c r="D483" s="3">
        <v>0.41</v>
      </c>
      <c r="E483" s="3">
        <v>0.25369999999999998</v>
      </c>
      <c r="F483" s="3">
        <v>0</v>
      </c>
      <c r="G483" s="3">
        <v>11</v>
      </c>
      <c r="H483" s="3">
        <v>11</v>
      </c>
    </row>
    <row r="484" spans="1:8" ht="15.75" customHeight="1" x14ac:dyDescent="0.25">
      <c r="A484" s="3">
        <v>482</v>
      </c>
      <c r="B484" s="3">
        <v>483</v>
      </c>
      <c r="C484" s="3">
        <v>3.0300000000000001E-2</v>
      </c>
      <c r="D484" s="3">
        <v>0.41</v>
      </c>
      <c r="E484" s="3">
        <v>0.28360000000000002</v>
      </c>
      <c r="F484" s="3">
        <v>1</v>
      </c>
      <c r="G484" s="3">
        <v>6</v>
      </c>
      <c r="H484" s="3">
        <v>7</v>
      </c>
    </row>
    <row r="485" spans="1:8" ht="15.75" customHeight="1" x14ac:dyDescent="0.25">
      <c r="A485" s="3">
        <v>483</v>
      </c>
      <c r="B485" s="3">
        <v>484</v>
      </c>
      <c r="C485" s="3">
        <v>1.52E-2</v>
      </c>
      <c r="D485" s="3">
        <v>0.48</v>
      </c>
      <c r="E485" s="3">
        <v>0.29849999999999999</v>
      </c>
      <c r="F485" s="3">
        <v>0</v>
      </c>
      <c r="G485" s="3">
        <v>3</v>
      </c>
      <c r="H485" s="3">
        <v>3</v>
      </c>
    </row>
    <row r="486" spans="1:8" ht="15.75" customHeight="1" x14ac:dyDescent="0.25">
      <c r="A486" s="3">
        <v>484</v>
      </c>
      <c r="B486" s="3">
        <v>485</v>
      </c>
      <c r="C486" s="3">
        <v>3.0300000000000001E-2</v>
      </c>
      <c r="D486" s="3">
        <v>0.44</v>
      </c>
      <c r="E486" s="3">
        <v>0.22389999999999999</v>
      </c>
      <c r="F486" s="3">
        <v>0</v>
      </c>
      <c r="G486" s="3">
        <v>2</v>
      </c>
      <c r="H486" s="3">
        <v>2</v>
      </c>
    </row>
    <row r="487" spans="1:8" ht="15.75" customHeight="1" x14ac:dyDescent="0.25">
      <c r="A487" s="3">
        <v>485</v>
      </c>
      <c r="B487" s="3">
        <v>486</v>
      </c>
      <c r="C487" s="3">
        <v>1.52E-2</v>
      </c>
      <c r="D487" s="3">
        <v>0.44</v>
      </c>
      <c r="E487" s="3">
        <v>0.28360000000000002</v>
      </c>
      <c r="F487" s="3">
        <v>0</v>
      </c>
      <c r="G487" s="3">
        <v>8</v>
      </c>
      <c r="H487" s="3">
        <v>8</v>
      </c>
    </row>
    <row r="488" spans="1:8" ht="15.75" customHeight="1" x14ac:dyDescent="0.25">
      <c r="A488" s="3">
        <v>486</v>
      </c>
      <c r="B488" s="3">
        <v>487</v>
      </c>
      <c r="C488" s="3">
        <v>0</v>
      </c>
      <c r="D488" s="3">
        <v>0.44</v>
      </c>
      <c r="E488" s="3">
        <v>0.32840000000000003</v>
      </c>
      <c r="F488" s="3">
        <v>1</v>
      </c>
      <c r="G488" s="3">
        <v>26</v>
      </c>
      <c r="H488" s="3">
        <v>27</v>
      </c>
    </row>
    <row r="489" spans="1:8" ht="15.75" customHeight="1" x14ac:dyDescent="0.25">
      <c r="A489" s="3">
        <v>487</v>
      </c>
      <c r="B489" s="3">
        <v>488</v>
      </c>
      <c r="C489" s="3">
        <v>3.0300000000000001E-2</v>
      </c>
      <c r="D489" s="3">
        <v>0.41</v>
      </c>
      <c r="E489" s="3">
        <v>0.25369999999999998</v>
      </c>
      <c r="F489" s="3">
        <v>3</v>
      </c>
      <c r="G489" s="3">
        <v>37</v>
      </c>
      <c r="H489" s="3">
        <v>40</v>
      </c>
    </row>
    <row r="490" spans="1:8" ht="15.75" customHeight="1" x14ac:dyDescent="0.25">
      <c r="A490" s="3">
        <v>488</v>
      </c>
      <c r="B490" s="3">
        <v>489</v>
      </c>
      <c r="C490" s="3">
        <v>6.0600000000000001E-2</v>
      </c>
      <c r="D490" s="3">
        <v>0.41</v>
      </c>
      <c r="E490" s="3">
        <v>0.16420000000000001</v>
      </c>
      <c r="F490" s="3">
        <v>3</v>
      </c>
      <c r="G490" s="3">
        <v>50</v>
      </c>
      <c r="H490" s="3">
        <v>53</v>
      </c>
    </row>
    <row r="491" spans="1:8" ht="15.75" customHeight="1" x14ac:dyDescent="0.25">
      <c r="A491" s="3">
        <v>489</v>
      </c>
      <c r="B491" s="3">
        <v>490</v>
      </c>
      <c r="C491" s="3">
        <v>7.5800000000000006E-2</v>
      </c>
      <c r="D491" s="3">
        <v>0.38</v>
      </c>
      <c r="E491" s="3">
        <v>0.1343</v>
      </c>
      <c r="F491" s="3">
        <v>4</v>
      </c>
      <c r="G491" s="3">
        <v>59</v>
      </c>
      <c r="H491" s="3">
        <v>63</v>
      </c>
    </row>
    <row r="492" spans="1:8" ht="15.75" customHeight="1" x14ac:dyDescent="0.25">
      <c r="A492" s="3">
        <v>490</v>
      </c>
      <c r="B492" s="3">
        <v>491</v>
      </c>
      <c r="C492" s="3">
        <v>0.1061</v>
      </c>
      <c r="D492" s="3">
        <v>0.38</v>
      </c>
      <c r="E492" s="3">
        <v>0.1045</v>
      </c>
      <c r="F492" s="3">
        <v>10</v>
      </c>
      <c r="G492" s="3">
        <v>60</v>
      </c>
      <c r="H492" s="3">
        <v>70</v>
      </c>
    </row>
    <row r="493" spans="1:8" ht="15.75" customHeight="1" x14ac:dyDescent="0.25">
      <c r="A493" s="3">
        <v>491</v>
      </c>
      <c r="B493" s="3">
        <v>492</v>
      </c>
      <c r="C493" s="3">
        <v>0.16669999999999999</v>
      </c>
      <c r="D493" s="3">
        <v>0.35</v>
      </c>
      <c r="E493" s="3">
        <v>0</v>
      </c>
      <c r="F493" s="3">
        <v>12</v>
      </c>
      <c r="G493" s="3">
        <v>72</v>
      </c>
      <c r="H493" s="3">
        <v>84</v>
      </c>
    </row>
    <row r="494" spans="1:8" ht="15.75" customHeight="1" x14ac:dyDescent="0.25">
      <c r="A494" s="3">
        <v>492</v>
      </c>
      <c r="B494" s="3">
        <v>493</v>
      </c>
      <c r="C494" s="3">
        <v>0.13639999999999999</v>
      </c>
      <c r="D494" s="3">
        <v>0.33</v>
      </c>
      <c r="E494" s="3">
        <v>0.1045</v>
      </c>
      <c r="F494" s="3">
        <v>11</v>
      </c>
      <c r="G494" s="3">
        <v>64</v>
      </c>
      <c r="H494" s="3">
        <v>75</v>
      </c>
    </row>
    <row r="495" spans="1:8" ht="15.75" customHeight="1" x14ac:dyDescent="0.25">
      <c r="A495" s="3">
        <v>493</v>
      </c>
      <c r="B495" s="3">
        <v>494</v>
      </c>
      <c r="C495" s="3">
        <v>0.1515</v>
      </c>
      <c r="D495" s="3">
        <v>0.28000000000000003</v>
      </c>
      <c r="E495" s="3">
        <v>0</v>
      </c>
      <c r="F495" s="3">
        <v>10</v>
      </c>
      <c r="G495" s="3">
        <v>93</v>
      </c>
      <c r="H495" s="3">
        <v>103</v>
      </c>
    </row>
    <row r="496" spans="1:8" ht="15.75" customHeight="1" x14ac:dyDescent="0.25">
      <c r="A496" s="3">
        <v>494</v>
      </c>
      <c r="B496" s="3">
        <v>495</v>
      </c>
      <c r="C496" s="3">
        <v>0.13639999999999999</v>
      </c>
      <c r="D496" s="3">
        <v>0.28000000000000003</v>
      </c>
      <c r="E496" s="3">
        <v>0.19400000000000001</v>
      </c>
      <c r="F496" s="3">
        <v>11</v>
      </c>
      <c r="G496" s="3">
        <v>72</v>
      </c>
      <c r="H496" s="3">
        <v>83</v>
      </c>
    </row>
    <row r="497" spans="1:8" ht="15.75" customHeight="1" x14ac:dyDescent="0.25">
      <c r="A497" s="3">
        <v>495</v>
      </c>
      <c r="B497" s="3">
        <v>496</v>
      </c>
      <c r="C497" s="3">
        <v>0.19700000000000001</v>
      </c>
      <c r="D497" s="3">
        <v>0.28000000000000003</v>
      </c>
      <c r="E497" s="3">
        <v>0</v>
      </c>
      <c r="F497" s="3">
        <v>8</v>
      </c>
      <c r="G497" s="3">
        <v>59</v>
      </c>
      <c r="H497" s="3">
        <v>67</v>
      </c>
    </row>
    <row r="498" spans="1:8" ht="15.75" customHeight="1" x14ac:dyDescent="0.25">
      <c r="A498" s="3">
        <v>496</v>
      </c>
      <c r="B498" s="3">
        <v>497</v>
      </c>
      <c r="C498" s="3">
        <v>9.0899999999999995E-2</v>
      </c>
      <c r="D498" s="3">
        <v>0.35</v>
      </c>
      <c r="E498" s="3">
        <v>0.19400000000000001</v>
      </c>
      <c r="F498" s="3">
        <v>0</v>
      </c>
      <c r="G498" s="3">
        <v>54</v>
      </c>
      <c r="H498" s="3">
        <v>54</v>
      </c>
    </row>
    <row r="499" spans="1:8" ht="15.75" customHeight="1" x14ac:dyDescent="0.25">
      <c r="A499" s="3">
        <v>497</v>
      </c>
      <c r="B499" s="3">
        <v>498</v>
      </c>
      <c r="C499" s="3">
        <v>0.1061</v>
      </c>
      <c r="D499" s="3">
        <v>0.35</v>
      </c>
      <c r="E499" s="3">
        <v>0.1343</v>
      </c>
      <c r="F499" s="3">
        <v>6</v>
      </c>
      <c r="G499" s="3">
        <v>53</v>
      </c>
      <c r="H499" s="3">
        <v>59</v>
      </c>
    </row>
    <row r="500" spans="1:8" ht="15.75" customHeight="1" x14ac:dyDescent="0.25">
      <c r="A500" s="3">
        <v>498</v>
      </c>
      <c r="B500" s="3">
        <v>499</v>
      </c>
      <c r="C500" s="3">
        <v>7.5800000000000006E-2</v>
      </c>
      <c r="D500" s="3">
        <v>0.45</v>
      </c>
      <c r="E500" s="3">
        <v>0.16420000000000001</v>
      </c>
      <c r="F500" s="3">
        <v>1</v>
      </c>
      <c r="G500" s="3">
        <v>44</v>
      </c>
      <c r="H500" s="3">
        <v>45</v>
      </c>
    </row>
    <row r="501" spans="1:8" ht="15.75" customHeight="1" x14ac:dyDescent="0.25">
      <c r="A501" s="3">
        <v>499</v>
      </c>
      <c r="B501" s="3">
        <v>500</v>
      </c>
      <c r="C501" s="3">
        <v>0.1061</v>
      </c>
      <c r="D501" s="3">
        <v>0.41</v>
      </c>
      <c r="E501" s="3">
        <v>8.9599999999999999E-2</v>
      </c>
      <c r="F501" s="3">
        <v>0</v>
      </c>
      <c r="G501" s="3">
        <v>39</v>
      </c>
      <c r="H501" s="3">
        <v>39</v>
      </c>
    </row>
    <row r="502" spans="1:8" ht="15.75" customHeight="1" x14ac:dyDescent="0.25">
      <c r="A502" s="3">
        <v>500</v>
      </c>
      <c r="B502" s="3">
        <v>501</v>
      </c>
      <c r="C502" s="3">
        <v>0.1515</v>
      </c>
      <c r="D502" s="3">
        <v>0.49</v>
      </c>
      <c r="E502" s="3">
        <v>0</v>
      </c>
      <c r="F502" s="3">
        <v>7</v>
      </c>
      <c r="G502" s="3">
        <v>23</v>
      </c>
      <c r="H502" s="3">
        <v>30</v>
      </c>
    </row>
    <row r="503" spans="1:8" ht="15.75" customHeight="1" x14ac:dyDescent="0.25">
      <c r="A503" s="3">
        <v>501</v>
      </c>
      <c r="B503" s="3">
        <v>502</v>
      </c>
      <c r="C503" s="3">
        <v>7.5800000000000006E-2</v>
      </c>
      <c r="D503" s="3">
        <v>0.56999999999999995</v>
      </c>
      <c r="E503" s="3">
        <v>0.1045</v>
      </c>
      <c r="F503" s="3">
        <v>2</v>
      </c>
      <c r="G503" s="3">
        <v>31</v>
      </c>
      <c r="H503" s="3">
        <v>33</v>
      </c>
    </row>
    <row r="504" spans="1:8" ht="15.75" customHeight="1" x14ac:dyDescent="0.25">
      <c r="A504" s="3">
        <v>502</v>
      </c>
      <c r="B504" s="3">
        <v>503</v>
      </c>
      <c r="C504" s="3">
        <v>7.5800000000000006E-2</v>
      </c>
      <c r="D504" s="3">
        <v>0.56999999999999995</v>
      </c>
      <c r="E504" s="3">
        <v>0.1045</v>
      </c>
      <c r="F504" s="3">
        <v>2</v>
      </c>
      <c r="G504" s="3">
        <v>20</v>
      </c>
      <c r="H504" s="3">
        <v>22</v>
      </c>
    </row>
    <row r="505" spans="1:8" ht="15.75" customHeight="1" x14ac:dyDescent="0.25">
      <c r="A505" s="3">
        <v>503</v>
      </c>
      <c r="B505" s="3">
        <v>504</v>
      </c>
      <c r="C505" s="3">
        <v>7.5800000000000006E-2</v>
      </c>
      <c r="D505" s="3">
        <v>0.56999999999999995</v>
      </c>
      <c r="E505" s="3">
        <v>0.1045</v>
      </c>
      <c r="F505" s="3">
        <v>1</v>
      </c>
      <c r="G505" s="3">
        <v>12</v>
      </c>
      <c r="H505" s="3">
        <v>13</v>
      </c>
    </row>
    <row r="506" spans="1:8" ht="15.75" customHeight="1" x14ac:dyDescent="0.25">
      <c r="A506" s="3">
        <v>504</v>
      </c>
      <c r="B506" s="3">
        <v>505</v>
      </c>
      <c r="C506" s="3">
        <v>6.0600000000000001E-2</v>
      </c>
      <c r="D506" s="3">
        <v>0.62</v>
      </c>
      <c r="E506" s="3">
        <v>0.1343</v>
      </c>
      <c r="F506" s="3">
        <v>3</v>
      </c>
      <c r="G506" s="3">
        <v>15</v>
      </c>
      <c r="H506" s="3">
        <v>18</v>
      </c>
    </row>
    <row r="507" spans="1:8" ht="15.75" customHeight="1" x14ac:dyDescent="0.25">
      <c r="A507" s="3">
        <v>505</v>
      </c>
      <c r="B507" s="3">
        <v>506</v>
      </c>
      <c r="C507" s="3">
        <v>6.0600000000000001E-2</v>
      </c>
      <c r="D507" s="3">
        <v>0.62</v>
      </c>
      <c r="E507" s="3">
        <v>0.1343</v>
      </c>
      <c r="F507" s="3">
        <v>1</v>
      </c>
      <c r="G507" s="3">
        <v>4</v>
      </c>
      <c r="H507" s="3">
        <v>5</v>
      </c>
    </row>
    <row r="508" spans="1:8" ht="15.75" customHeight="1" x14ac:dyDescent="0.25">
      <c r="A508" s="3">
        <v>506</v>
      </c>
      <c r="B508" s="3">
        <v>507</v>
      </c>
      <c r="C508" s="3">
        <v>7.5800000000000006E-2</v>
      </c>
      <c r="D508" s="3">
        <v>0.56999999999999995</v>
      </c>
      <c r="E508" s="3">
        <v>0.1045</v>
      </c>
      <c r="F508" s="3">
        <v>0</v>
      </c>
      <c r="G508" s="3">
        <v>3</v>
      </c>
      <c r="H508" s="3">
        <v>3</v>
      </c>
    </row>
    <row r="509" spans="1:8" ht="15.75" customHeight="1" x14ac:dyDescent="0.25">
      <c r="A509" s="3">
        <v>507</v>
      </c>
      <c r="B509" s="3">
        <v>508</v>
      </c>
      <c r="C509" s="3">
        <v>7.5800000000000006E-2</v>
      </c>
      <c r="D509" s="3">
        <v>0.56999999999999995</v>
      </c>
      <c r="E509" s="3">
        <v>0.1045</v>
      </c>
      <c r="F509" s="3">
        <v>0</v>
      </c>
      <c r="G509" s="3">
        <v>1</v>
      </c>
      <c r="H509" s="3">
        <v>1</v>
      </c>
    </row>
    <row r="510" spans="1:8" ht="15.75" customHeight="1" x14ac:dyDescent="0.25">
      <c r="A510" s="3">
        <v>508</v>
      </c>
      <c r="B510" s="3">
        <v>509</v>
      </c>
      <c r="C510" s="3">
        <v>0.1061</v>
      </c>
      <c r="D510" s="3">
        <v>0.57999999999999996</v>
      </c>
      <c r="E510" s="3">
        <v>0.16420000000000001</v>
      </c>
      <c r="F510" s="3">
        <v>1</v>
      </c>
      <c r="G510" s="3">
        <v>1</v>
      </c>
      <c r="H510" s="3">
        <v>2</v>
      </c>
    </row>
    <row r="511" spans="1:8" ht="15.75" customHeight="1" x14ac:dyDescent="0.25">
      <c r="A511" s="3">
        <v>509</v>
      </c>
      <c r="B511" s="3">
        <v>510</v>
      </c>
      <c r="C511" s="3">
        <v>7.5800000000000006E-2</v>
      </c>
      <c r="D511" s="3">
        <v>0.62</v>
      </c>
      <c r="E511" s="3">
        <v>0.16420000000000001</v>
      </c>
      <c r="F511" s="3">
        <v>2</v>
      </c>
      <c r="G511" s="3">
        <v>17</v>
      </c>
      <c r="H511" s="3">
        <v>19</v>
      </c>
    </row>
    <row r="512" spans="1:8" ht="15.75" customHeight="1" x14ac:dyDescent="0.25">
      <c r="A512" s="3">
        <v>510</v>
      </c>
      <c r="B512" s="3">
        <v>511</v>
      </c>
      <c r="C512" s="3">
        <v>7.5800000000000006E-2</v>
      </c>
      <c r="D512" s="3">
        <v>0.54</v>
      </c>
      <c r="E512" s="3">
        <v>0.35820000000000002</v>
      </c>
      <c r="F512" s="3">
        <v>3</v>
      </c>
      <c r="G512" s="3">
        <v>25</v>
      </c>
      <c r="H512" s="3">
        <v>28</v>
      </c>
    </row>
    <row r="513" spans="1:8" ht="15.75" customHeight="1" x14ac:dyDescent="0.25">
      <c r="A513" s="3">
        <v>511</v>
      </c>
      <c r="B513" s="3">
        <v>512</v>
      </c>
      <c r="C513" s="3">
        <v>0.1061</v>
      </c>
      <c r="D513" s="3">
        <v>0.46</v>
      </c>
      <c r="E513" s="3">
        <v>0.3881</v>
      </c>
      <c r="F513" s="3">
        <v>7</v>
      </c>
      <c r="G513" s="3">
        <v>51</v>
      </c>
      <c r="H513" s="3">
        <v>58</v>
      </c>
    </row>
    <row r="514" spans="1:8" ht="15.75" customHeight="1" x14ac:dyDescent="0.25">
      <c r="A514" s="3">
        <v>512</v>
      </c>
      <c r="B514" s="3">
        <v>513</v>
      </c>
      <c r="C514" s="3">
        <v>0.13639999999999999</v>
      </c>
      <c r="D514" s="3">
        <v>0.43</v>
      </c>
      <c r="E514" s="3">
        <v>0.22389999999999999</v>
      </c>
      <c r="F514" s="3">
        <v>22</v>
      </c>
      <c r="G514" s="3">
        <v>77</v>
      </c>
      <c r="H514" s="3">
        <v>99</v>
      </c>
    </row>
    <row r="515" spans="1:8" ht="15.75" customHeight="1" x14ac:dyDescent="0.25">
      <c r="A515" s="3">
        <v>513</v>
      </c>
      <c r="B515" s="3">
        <v>514</v>
      </c>
      <c r="C515" s="3">
        <v>0.1212</v>
      </c>
      <c r="D515" s="3">
        <v>0.37</v>
      </c>
      <c r="E515" s="3">
        <v>0.4627</v>
      </c>
      <c r="F515" s="3">
        <v>24</v>
      </c>
      <c r="G515" s="3">
        <v>92</v>
      </c>
      <c r="H515" s="3">
        <v>116</v>
      </c>
    </row>
    <row r="516" spans="1:8" ht="15.75" customHeight="1" x14ac:dyDescent="0.25">
      <c r="A516" s="3">
        <v>514</v>
      </c>
      <c r="B516" s="3">
        <v>515</v>
      </c>
      <c r="C516" s="3">
        <v>0.1061</v>
      </c>
      <c r="D516" s="3">
        <v>0.33</v>
      </c>
      <c r="E516" s="3">
        <v>0.3881</v>
      </c>
      <c r="F516" s="3">
        <v>12</v>
      </c>
      <c r="G516" s="3">
        <v>75</v>
      </c>
      <c r="H516" s="3">
        <v>87</v>
      </c>
    </row>
    <row r="517" spans="1:8" ht="15.75" customHeight="1" x14ac:dyDescent="0.25">
      <c r="A517" s="3">
        <v>515</v>
      </c>
      <c r="B517" s="3">
        <v>516</v>
      </c>
      <c r="C517" s="3">
        <v>0.13639999999999999</v>
      </c>
      <c r="D517" s="3">
        <v>0.28000000000000003</v>
      </c>
      <c r="E517" s="3">
        <v>0.35820000000000002</v>
      </c>
      <c r="F517" s="3">
        <v>17</v>
      </c>
      <c r="G517" s="3">
        <v>93</v>
      </c>
      <c r="H517" s="3">
        <v>110</v>
      </c>
    </row>
    <row r="518" spans="1:8" ht="15.75" customHeight="1" x14ac:dyDescent="0.25">
      <c r="A518" s="3">
        <v>516</v>
      </c>
      <c r="B518" s="3">
        <v>517</v>
      </c>
      <c r="C518" s="3">
        <v>0.13639999999999999</v>
      </c>
      <c r="D518" s="3">
        <v>0.28000000000000003</v>
      </c>
      <c r="E518" s="3">
        <v>0.35820000000000002</v>
      </c>
      <c r="F518" s="3">
        <v>13</v>
      </c>
      <c r="G518" s="3">
        <v>64</v>
      </c>
      <c r="H518" s="3">
        <v>77</v>
      </c>
    </row>
    <row r="519" spans="1:8" ht="15.75" customHeight="1" x14ac:dyDescent="0.25">
      <c r="A519" s="3">
        <v>517</v>
      </c>
      <c r="B519" s="3">
        <v>518</v>
      </c>
      <c r="C519" s="3">
        <v>0.13639999999999999</v>
      </c>
      <c r="D519" s="3">
        <v>0.26</v>
      </c>
      <c r="E519" s="3">
        <v>0.32840000000000003</v>
      </c>
      <c r="F519" s="3">
        <v>9</v>
      </c>
      <c r="G519" s="3">
        <v>56</v>
      </c>
      <c r="H519" s="3">
        <v>65</v>
      </c>
    </row>
    <row r="520" spans="1:8" ht="15.75" customHeight="1" x14ac:dyDescent="0.25">
      <c r="A520" s="3">
        <v>518</v>
      </c>
      <c r="B520" s="3">
        <v>519</v>
      </c>
      <c r="C520" s="3">
        <v>0.1061</v>
      </c>
      <c r="D520" s="3">
        <v>0.26</v>
      </c>
      <c r="E520" s="3">
        <v>0.3881</v>
      </c>
      <c r="F520" s="3">
        <v>5</v>
      </c>
      <c r="G520" s="3">
        <v>50</v>
      </c>
      <c r="H520" s="3">
        <v>55</v>
      </c>
    </row>
    <row r="521" spans="1:8" ht="15.75" customHeight="1" x14ac:dyDescent="0.25">
      <c r="A521" s="3">
        <v>519</v>
      </c>
      <c r="B521" s="3">
        <v>520</v>
      </c>
      <c r="C521" s="3">
        <v>0.1212</v>
      </c>
      <c r="D521" s="3">
        <v>0.3</v>
      </c>
      <c r="E521" s="3">
        <v>0.25369999999999998</v>
      </c>
      <c r="F521" s="3">
        <v>5</v>
      </c>
      <c r="G521" s="3">
        <v>44</v>
      </c>
      <c r="H521" s="3">
        <v>49</v>
      </c>
    </row>
    <row r="522" spans="1:8" ht="15.75" customHeight="1" x14ac:dyDescent="0.25">
      <c r="A522" s="3">
        <v>520</v>
      </c>
      <c r="B522" s="3">
        <v>521</v>
      </c>
      <c r="C522" s="3">
        <v>0.1212</v>
      </c>
      <c r="D522" s="3">
        <v>0.3</v>
      </c>
      <c r="E522" s="3">
        <v>0.28360000000000002</v>
      </c>
      <c r="F522" s="3">
        <v>5</v>
      </c>
      <c r="G522" s="3">
        <v>45</v>
      </c>
      <c r="H522" s="3">
        <v>50</v>
      </c>
    </row>
    <row r="523" spans="1:8" ht="15.75" customHeight="1" x14ac:dyDescent="0.25">
      <c r="A523" s="3">
        <v>521</v>
      </c>
      <c r="B523" s="3">
        <v>522</v>
      </c>
      <c r="C523" s="3">
        <v>0.1061</v>
      </c>
      <c r="D523" s="3">
        <v>0.36</v>
      </c>
      <c r="E523" s="3">
        <v>0.25369999999999998</v>
      </c>
      <c r="F523" s="3">
        <v>4</v>
      </c>
      <c r="G523" s="3">
        <v>31</v>
      </c>
      <c r="H523" s="3">
        <v>35</v>
      </c>
    </row>
    <row r="524" spans="1:8" ht="15.75" customHeight="1" x14ac:dyDescent="0.25">
      <c r="A524" s="3">
        <v>522</v>
      </c>
      <c r="B524" s="3">
        <v>523</v>
      </c>
      <c r="C524" s="3">
        <v>0.1061</v>
      </c>
      <c r="D524" s="3">
        <v>0.36</v>
      </c>
      <c r="E524" s="3">
        <v>0.19400000000000001</v>
      </c>
      <c r="F524" s="3">
        <v>5</v>
      </c>
      <c r="G524" s="3">
        <v>20</v>
      </c>
      <c r="H524" s="3">
        <v>25</v>
      </c>
    </row>
    <row r="525" spans="1:8" ht="15.75" customHeight="1" x14ac:dyDescent="0.25">
      <c r="A525" s="3">
        <v>523</v>
      </c>
      <c r="B525" s="3">
        <v>524</v>
      </c>
      <c r="C525" s="3">
        <v>9.0899999999999995E-2</v>
      </c>
      <c r="D525" s="3">
        <v>0.38</v>
      </c>
      <c r="E525" s="3">
        <v>0.19400000000000001</v>
      </c>
      <c r="F525" s="3">
        <v>5</v>
      </c>
      <c r="G525" s="3">
        <v>23</v>
      </c>
      <c r="H525" s="3">
        <v>28</v>
      </c>
    </row>
    <row r="526" spans="1:8" ht="15.75" customHeight="1" x14ac:dyDescent="0.25">
      <c r="A526" s="3">
        <v>524</v>
      </c>
      <c r="B526" s="3">
        <v>525</v>
      </c>
      <c r="C526" s="3">
        <v>6.0600000000000001E-2</v>
      </c>
      <c r="D526" s="3">
        <v>0.41</v>
      </c>
      <c r="E526" s="3">
        <v>0.22389999999999999</v>
      </c>
      <c r="F526" s="3">
        <v>4</v>
      </c>
      <c r="G526" s="3">
        <v>17</v>
      </c>
      <c r="H526" s="3">
        <v>21</v>
      </c>
    </row>
    <row r="527" spans="1:8" ht="15.75" customHeight="1" x14ac:dyDescent="0.25">
      <c r="A527" s="3">
        <v>525</v>
      </c>
      <c r="B527" s="3">
        <v>526</v>
      </c>
      <c r="C527" s="3">
        <v>6.0600000000000001E-2</v>
      </c>
      <c r="D527" s="3">
        <v>0.41</v>
      </c>
      <c r="E527" s="3">
        <v>0.19400000000000001</v>
      </c>
      <c r="F527" s="3">
        <v>0</v>
      </c>
      <c r="G527" s="3">
        <v>7</v>
      </c>
      <c r="H527" s="3">
        <v>7</v>
      </c>
    </row>
    <row r="528" spans="1:8" ht="15.75" customHeight="1" x14ac:dyDescent="0.25">
      <c r="A528" s="3">
        <v>526</v>
      </c>
      <c r="B528" s="3">
        <v>527</v>
      </c>
      <c r="C528" s="3">
        <v>4.5499999999999999E-2</v>
      </c>
      <c r="D528" s="3">
        <v>0.45</v>
      </c>
      <c r="E528" s="3">
        <v>0.19400000000000001</v>
      </c>
      <c r="F528" s="3">
        <v>0</v>
      </c>
      <c r="G528" s="3">
        <v>1</v>
      </c>
      <c r="H528" s="3">
        <v>1</v>
      </c>
    </row>
    <row r="529" spans="1:8" ht="15.75" customHeight="1" x14ac:dyDescent="0.25">
      <c r="A529" s="3">
        <v>527</v>
      </c>
      <c r="B529" s="3">
        <v>528</v>
      </c>
      <c r="C529" s="3">
        <v>3.0300000000000001E-2</v>
      </c>
      <c r="D529" s="3">
        <v>0.45</v>
      </c>
      <c r="E529" s="3">
        <v>0.25369999999999998</v>
      </c>
      <c r="F529" s="3">
        <v>0</v>
      </c>
      <c r="G529" s="3">
        <v>1</v>
      </c>
      <c r="H529" s="3">
        <v>1</v>
      </c>
    </row>
    <row r="530" spans="1:8" ht="15.75" customHeight="1" x14ac:dyDescent="0.25">
      <c r="A530" s="3">
        <v>528</v>
      </c>
      <c r="B530" s="3">
        <v>529</v>
      </c>
      <c r="C530" s="3">
        <v>6.0600000000000001E-2</v>
      </c>
      <c r="D530" s="3">
        <v>0.48</v>
      </c>
      <c r="E530" s="3">
        <v>0.1343</v>
      </c>
      <c r="F530" s="3">
        <v>0</v>
      </c>
      <c r="G530" s="3">
        <v>1</v>
      </c>
      <c r="H530" s="3">
        <v>1</v>
      </c>
    </row>
    <row r="531" spans="1:8" ht="15.75" customHeight="1" x14ac:dyDescent="0.25">
      <c r="A531" s="3">
        <v>529</v>
      </c>
      <c r="B531" s="3">
        <v>530</v>
      </c>
      <c r="C531" s="3">
        <v>6.0600000000000001E-2</v>
      </c>
      <c r="D531" s="3">
        <v>0.48</v>
      </c>
      <c r="E531" s="3">
        <v>0.1343</v>
      </c>
      <c r="F531" s="3">
        <v>0</v>
      </c>
      <c r="G531" s="3">
        <v>5</v>
      </c>
      <c r="H531" s="3">
        <v>5</v>
      </c>
    </row>
    <row r="532" spans="1:8" ht="15.75" customHeight="1" x14ac:dyDescent="0.25">
      <c r="A532" s="3">
        <v>530</v>
      </c>
      <c r="B532" s="3">
        <v>531</v>
      </c>
      <c r="C532" s="3">
        <v>7.5800000000000006E-2</v>
      </c>
      <c r="D532" s="3">
        <v>0.48</v>
      </c>
      <c r="E532" s="3">
        <v>8.9599999999999999E-2</v>
      </c>
      <c r="F532" s="3">
        <v>0</v>
      </c>
      <c r="G532" s="3">
        <v>15</v>
      </c>
      <c r="H532" s="3">
        <v>15</v>
      </c>
    </row>
    <row r="533" spans="1:8" ht="15.75" customHeight="1" x14ac:dyDescent="0.25">
      <c r="A533" s="3">
        <v>531</v>
      </c>
      <c r="B533" s="3">
        <v>532</v>
      </c>
      <c r="C533" s="3">
        <v>0.1212</v>
      </c>
      <c r="D533" s="3">
        <v>0.48</v>
      </c>
      <c r="E533" s="3">
        <v>0</v>
      </c>
      <c r="F533" s="3">
        <v>5</v>
      </c>
      <c r="G533" s="3">
        <v>79</v>
      </c>
      <c r="H533" s="3">
        <v>84</v>
      </c>
    </row>
    <row r="534" spans="1:8" ht="15.75" customHeight="1" x14ac:dyDescent="0.25">
      <c r="A534" s="3">
        <v>532</v>
      </c>
      <c r="B534" s="3">
        <v>533</v>
      </c>
      <c r="C534" s="3">
        <v>0.13639999999999999</v>
      </c>
      <c r="D534" s="3">
        <v>0.49</v>
      </c>
      <c r="E534" s="3">
        <v>0</v>
      </c>
      <c r="F534" s="3">
        <v>6</v>
      </c>
      <c r="G534" s="3">
        <v>171</v>
      </c>
      <c r="H534" s="3">
        <v>177</v>
      </c>
    </row>
    <row r="535" spans="1:8" ht="15.75" customHeight="1" x14ac:dyDescent="0.25">
      <c r="A535" s="3">
        <v>533</v>
      </c>
      <c r="B535" s="3">
        <v>534</v>
      </c>
      <c r="C535" s="3">
        <v>0.1515</v>
      </c>
      <c r="D535" s="3">
        <v>0.41</v>
      </c>
      <c r="E535" s="3">
        <v>0</v>
      </c>
      <c r="F535" s="3">
        <v>4</v>
      </c>
      <c r="G535" s="3">
        <v>98</v>
      </c>
      <c r="H535" s="3">
        <v>102</v>
      </c>
    </row>
    <row r="536" spans="1:8" ht="15.75" customHeight="1" x14ac:dyDescent="0.25">
      <c r="A536" s="3">
        <v>534</v>
      </c>
      <c r="B536" s="3">
        <v>535</v>
      </c>
      <c r="C536" s="3">
        <v>0.13639999999999999</v>
      </c>
      <c r="D536" s="3">
        <v>0.42</v>
      </c>
      <c r="E536" s="3">
        <v>0</v>
      </c>
      <c r="F536" s="3">
        <v>6</v>
      </c>
      <c r="G536" s="3">
        <v>34</v>
      </c>
      <c r="H536" s="3">
        <v>40</v>
      </c>
    </row>
    <row r="537" spans="1:8" ht="15.75" customHeight="1" x14ac:dyDescent="0.25">
      <c r="A537" s="3">
        <v>535</v>
      </c>
      <c r="B537" s="3">
        <v>536</v>
      </c>
      <c r="C537" s="3">
        <v>0.1212</v>
      </c>
      <c r="D537" s="3">
        <v>0.46</v>
      </c>
      <c r="E537" s="3">
        <v>0.1343</v>
      </c>
      <c r="F537" s="3">
        <v>3</v>
      </c>
      <c r="G537" s="3">
        <v>43</v>
      </c>
      <c r="H537" s="3">
        <v>46</v>
      </c>
    </row>
    <row r="538" spans="1:8" ht="15.75" customHeight="1" x14ac:dyDescent="0.25">
      <c r="A538" s="3">
        <v>536</v>
      </c>
      <c r="B538" s="3">
        <v>537</v>
      </c>
      <c r="C538" s="3">
        <v>0.13639999999999999</v>
      </c>
      <c r="D538" s="3">
        <v>0.42</v>
      </c>
      <c r="E538" s="3">
        <v>0.19400000000000001</v>
      </c>
      <c r="F538" s="3">
        <v>11</v>
      </c>
      <c r="G538" s="3">
        <v>52</v>
      </c>
      <c r="H538" s="3">
        <v>63</v>
      </c>
    </row>
    <row r="539" spans="1:8" ht="15.75" customHeight="1" x14ac:dyDescent="0.25">
      <c r="A539" s="3">
        <v>537</v>
      </c>
      <c r="B539" s="3">
        <v>538</v>
      </c>
      <c r="C539" s="3">
        <v>0.13639999999999999</v>
      </c>
      <c r="D539" s="3">
        <v>0.43</v>
      </c>
      <c r="E539" s="3">
        <v>0.22389999999999999</v>
      </c>
      <c r="F539" s="3">
        <v>6</v>
      </c>
      <c r="G539" s="3">
        <v>54</v>
      </c>
      <c r="H539" s="3">
        <v>60</v>
      </c>
    </row>
    <row r="540" spans="1:8" ht="15.75" customHeight="1" x14ac:dyDescent="0.25">
      <c r="A540" s="3">
        <v>538</v>
      </c>
      <c r="B540" s="3">
        <v>539</v>
      </c>
      <c r="C540" s="3">
        <v>0.13639999999999999</v>
      </c>
      <c r="D540" s="3">
        <v>0.46</v>
      </c>
      <c r="E540" s="3">
        <v>0.22389999999999999</v>
      </c>
      <c r="F540" s="3">
        <v>2</v>
      </c>
      <c r="G540" s="3">
        <v>43</v>
      </c>
      <c r="H540" s="3">
        <v>45</v>
      </c>
    </row>
    <row r="541" spans="1:8" ht="15.75" customHeight="1" x14ac:dyDescent="0.25">
      <c r="A541" s="3">
        <v>539</v>
      </c>
      <c r="B541" s="3">
        <v>540</v>
      </c>
      <c r="C541" s="3">
        <v>0.16669999999999999</v>
      </c>
      <c r="D541" s="3">
        <v>0.4</v>
      </c>
      <c r="E541" s="3">
        <v>0.16420000000000001</v>
      </c>
      <c r="F541" s="3">
        <v>7</v>
      </c>
      <c r="G541" s="3">
        <v>50</v>
      </c>
      <c r="H541" s="3">
        <v>57</v>
      </c>
    </row>
    <row r="542" spans="1:8" ht="15.75" customHeight="1" x14ac:dyDescent="0.25">
      <c r="A542" s="3">
        <v>540</v>
      </c>
      <c r="B542" s="3">
        <v>541</v>
      </c>
      <c r="C542" s="3">
        <v>0.1515</v>
      </c>
      <c r="D542" s="3">
        <v>0.47</v>
      </c>
      <c r="E542" s="3">
        <v>0.25369999999999998</v>
      </c>
      <c r="F542" s="3">
        <v>4</v>
      </c>
      <c r="G542" s="3">
        <v>66</v>
      </c>
      <c r="H542" s="3">
        <v>70</v>
      </c>
    </row>
    <row r="543" spans="1:8" ht="15.75" customHeight="1" x14ac:dyDescent="0.25">
      <c r="A543" s="3">
        <v>541</v>
      </c>
      <c r="B543" s="3">
        <v>542</v>
      </c>
      <c r="C543" s="3">
        <v>0.1212</v>
      </c>
      <c r="D543" s="3">
        <v>0.5</v>
      </c>
      <c r="E543" s="3">
        <v>0.25369999999999998</v>
      </c>
      <c r="F543" s="3">
        <v>6</v>
      </c>
      <c r="G543" s="3">
        <v>178</v>
      </c>
      <c r="H543" s="3">
        <v>184</v>
      </c>
    </row>
    <row r="544" spans="1:8" ht="15.75" customHeight="1" x14ac:dyDescent="0.25">
      <c r="A544" s="3">
        <v>542</v>
      </c>
      <c r="B544" s="3">
        <v>543</v>
      </c>
      <c r="C544" s="3">
        <v>0.13639999999999999</v>
      </c>
      <c r="D544" s="3">
        <v>0.59</v>
      </c>
      <c r="E544" s="3">
        <v>0.19400000000000001</v>
      </c>
      <c r="F544" s="3">
        <v>8</v>
      </c>
      <c r="G544" s="3">
        <v>145</v>
      </c>
      <c r="H544" s="3">
        <v>153</v>
      </c>
    </row>
    <row r="545" spans="1:8" ht="15.75" customHeight="1" x14ac:dyDescent="0.25">
      <c r="A545" s="3">
        <v>543</v>
      </c>
      <c r="B545" s="3">
        <v>544</v>
      </c>
      <c r="C545" s="3">
        <v>0.1515</v>
      </c>
      <c r="D545" s="3">
        <v>0.54</v>
      </c>
      <c r="E545" s="3">
        <v>0.16420000000000001</v>
      </c>
      <c r="F545" s="3">
        <v>5</v>
      </c>
      <c r="G545" s="3">
        <v>101</v>
      </c>
      <c r="H545" s="3">
        <v>106</v>
      </c>
    </row>
    <row r="546" spans="1:8" ht="15.75" customHeight="1" x14ac:dyDescent="0.25">
      <c r="A546" s="3">
        <v>544</v>
      </c>
      <c r="B546" s="3">
        <v>545</v>
      </c>
      <c r="C546" s="3">
        <v>0.13639999999999999</v>
      </c>
      <c r="D546" s="3">
        <v>0.59</v>
      </c>
      <c r="E546" s="3">
        <v>0.19400000000000001</v>
      </c>
      <c r="F546" s="3">
        <v>1</v>
      </c>
      <c r="G546" s="3">
        <v>80</v>
      </c>
      <c r="H546" s="3">
        <v>81</v>
      </c>
    </row>
    <row r="547" spans="1:8" ht="15.75" customHeight="1" x14ac:dyDescent="0.25">
      <c r="A547" s="3">
        <v>545</v>
      </c>
      <c r="B547" s="3">
        <v>546</v>
      </c>
      <c r="C547" s="3">
        <v>0.1515</v>
      </c>
      <c r="D547" s="3">
        <v>0.63</v>
      </c>
      <c r="E547" s="3">
        <v>0.16420000000000001</v>
      </c>
      <c r="F547" s="3">
        <v>6</v>
      </c>
      <c r="G547" s="3">
        <v>53</v>
      </c>
      <c r="H547" s="3">
        <v>59</v>
      </c>
    </row>
    <row r="548" spans="1:8" ht="15.75" customHeight="1" x14ac:dyDescent="0.25">
      <c r="A548" s="3">
        <v>546</v>
      </c>
      <c r="B548" s="3">
        <v>547</v>
      </c>
      <c r="C548" s="3">
        <v>0.13639999999999999</v>
      </c>
      <c r="D548" s="3">
        <v>0.63</v>
      </c>
      <c r="E548" s="3">
        <v>0.22389999999999999</v>
      </c>
      <c r="F548" s="3">
        <v>3</v>
      </c>
      <c r="G548" s="3">
        <v>32</v>
      </c>
      <c r="H548" s="3">
        <v>35</v>
      </c>
    </row>
    <row r="549" spans="1:8" ht="15.75" customHeight="1" x14ac:dyDescent="0.25">
      <c r="A549" s="3">
        <v>547</v>
      </c>
      <c r="B549" s="3">
        <v>548</v>
      </c>
      <c r="C549" s="3">
        <v>0.1515</v>
      </c>
      <c r="D549" s="3">
        <v>0.64</v>
      </c>
      <c r="E549" s="3">
        <v>0.25369999999999998</v>
      </c>
      <c r="F549" s="3">
        <v>3</v>
      </c>
      <c r="G549" s="3">
        <v>21</v>
      </c>
      <c r="H549" s="3">
        <v>24</v>
      </c>
    </row>
    <row r="550" spans="1:8" ht="15.75" customHeight="1" x14ac:dyDescent="0.25">
      <c r="A550" s="3">
        <v>548</v>
      </c>
      <c r="B550" s="3">
        <v>549</v>
      </c>
      <c r="C550" s="3">
        <v>0.13639999999999999</v>
      </c>
      <c r="D550" s="3">
        <v>0.69</v>
      </c>
      <c r="E550" s="3">
        <v>0.28360000000000002</v>
      </c>
      <c r="F550" s="3">
        <v>3</v>
      </c>
      <c r="G550" s="3">
        <v>6</v>
      </c>
      <c r="H550" s="3">
        <v>9</v>
      </c>
    </row>
    <row r="551" spans="1:8" ht="15.75" customHeight="1" x14ac:dyDescent="0.25">
      <c r="A551" s="3">
        <v>549</v>
      </c>
      <c r="B551" s="3">
        <v>550</v>
      </c>
      <c r="C551" s="3">
        <v>0.16669999999999999</v>
      </c>
      <c r="D551" s="3">
        <v>0.69</v>
      </c>
      <c r="E551" s="3">
        <v>0.16420000000000001</v>
      </c>
      <c r="F551" s="3">
        <v>0</v>
      </c>
      <c r="G551" s="3">
        <v>5</v>
      </c>
      <c r="H551" s="3">
        <v>5</v>
      </c>
    </row>
    <row r="552" spans="1:8" ht="15.75" customHeight="1" x14ac:dyDescent="0.25">
      <c r="A552" s="3">
        <v>550</v>
      </c>
      <c r="B552" s="3">
        <v>551</v>
      </c>
      <c r="C552" s="3">
        <v>0.1515</v>
      </c>
      <c r="D552" s="3">
        <v>0.69</v>
      </c>
      <c r="E552" s="3">
        <v>0.22389999999999999</v>
      </c>
      <c r="F552" s="3">
        <v>0</v>
      </c>
      <c r="G552" s="3">
        <v>2</v>
      </c>
      <c r="H552" s="3">
        <v>2</v>
      </c>
    </row>
    <row r="553" spans="1:8" ht="15.75" customHeight="1" x14ac:dyDescent="0.25">
      <c r="A553" s="3">
        <v>551</v>
      </c>
      <c r="B553" s="3">
        <v>552</v>
      </c>
      <c r="C553" s="3">
        <v>0.16669999999999999</v>
      </c>
      <c r="D553" s="3">
        <v>0.74</v>
      </c>
      <c r="E553" s="3">
        <v>0.1045</v>
      </c>
      <c r="F553" s="3">
        <v>0</v>
      </c>
      <c r="G553" s="3">
        <v>1</v>
      </c>
      <c r="H553" s="3">
        <v>1</v>
      </c>
    </row>
    <row r="554" spans="1:8" ht="15.75" customHeight="1" x14ac:dyDescent="0.25">
      <c r="A554" s="3">
        <v>552</v>
      </c>
      <c r="B554" s="3">
        <v>553</v>
      </c>
      <c r="C554" s="3">
        <v>0.13639999999999999</v>
      </c>
      <c r="D554" s="3">
        <v>0.74</v>
      </c>
      <c r="E554" s="3">
        <v>0.22389999999999999</v>
      </c>
      <c r="F554" s="3">
        <v>0</v>
      </c>
      <c r="G554" s="3">
        <v>9</v>
      </c>
      <c r="H554" s="3">
        <v>9</v>
      </c>
    </row>
    <row r="555" spans="1:8" ht="15.75" customHeight="1" x14ac:dyDescent="0.25">
      <c r="A555" s="3">
        <v>553</v>
      </c>
      <c r="B555" s="3">
        <v>554</v>
      </c>
      <c r="C555" s="3">
        <v>0.18179999999999999</v>
      </c>
      <c r="D555" s="3">
        <v>0.74</v>
      </c>
      <c r="E555" s="3">
        <v>0.1045</v>
      </c>
      <c r="F555" s="3">
        <v>1</v>
      </c>
      <c r="G555" s="3">
        <v>35</v>
      </c>
      <c r="H555" s="3">
        <v>36</v>
      </c>
    </row>
    <row r="556" spans="1:8" ht="15.75" customHeight="1" x14ac:dyDescent="0.25">
      <c r="A556" s="3">
        <v>554</v>
      </c>
      <c r="B556" s="3">
        <v>555</v>
      </c>
      <c r="C556" s="3">
        <v>0.1515</v>
      </c>
      <c r="D556" s="3">
        <v>0.74</v>
      </c>
      <c r="E556" s="3">
        <v>0.22389999999999999</v>
      </c>
      <c r="F556" s="3">
        <v>5</v>
      </c>
      <c r="G556" s="3">
        <v>103</v>
      </c>
      <c r="H556" s="3">
        <v>108</v>
      </c>
    </row>
    <row r="557" spans="1:8" ht="15.75" customHeight="1" x14ac:dyDescent="0.25">
      <c r="A557" s="3">
        <v>555</v>
      </c>
      <c r="B557" s="3">
        <v>556</v>
      </c>
      <c r="C557" s="3">
        <v>0.18179999999999999</v>
      </c>
      <c r="D557" s="3">
        <v>0.74</v>
      </c>
      <c r="E557" s="3">
        <v>0.1343</v>
      </c>
      <c r="F557" s="3">
        <v>5</v>
      </c>
      <c r="G557" s="3">
        <v>233</v>
      </c>
      <c r="H557" s="3">
        <v>238</v>
      </c>
    </row>
    <row r="558" spans="1:8" ht="15.75" customHeight="1" x14ac:dyDescent="0.25">
      <c r="A558" s="3">
        <v>556</v>
      </c>
      <c r="B558" s="3">
        <v>557</v>
      </c>
      <c r="C558" s="3">
        <v>0.2273</v>
      </c>
      <c r="D558" s="3">
        <v>0.64</v>
      </c>
      <c r="E558" s="3">
        <v>8.9599999999999999E-2</v>
      </c>
      <c r="F558" s="3">
        <v>10</v>
      </c>
      <c r="G558" s="3">
        <v>134</v>
      </c>
      <c r="H558" s="3">
        <v>144</v>
      </c>
    </row>
    <row r="559" spans="1:8" ht="15.75" customHeight="1" x14ac:dyDescent="0.25">
      <c r="A559" s="3">
        <v>557</v>
      </c>
      <c r="B559" s="3">
        <v>558</v>
      </c>
      <c r="C559" s="3">
        <v>0.2424</v>
      </c>
      <c r="D559" s="3">
        <v>0.6</v>
      </c>
      <c r="E559" s="3">
        <v>0.1045</v>
      </c>
      <c r="F559" s="3">
        <v>6</v>
      </c>
      <c r="G559" s="3">
        <v>49</v>
      </c>
      <c r="H559" s="3">
        <v>55</v>
      </c>
    </row>
    <row r="560" spans="1:8" ht="15.75" customHeight="1" x14ac:dyDescent="0.25">
      <c r="A560" s="3">
        <v>558</v>
      </c>
      <c r="B560" s="3">
        <v>559</v>
      </c>
      <c r="C560" s="3">
        <v>0.2424</v>
      </c>
      <c r="D560" s="3">
        <v>0.6</v>
      </c>
      <c r="E560" s="3">
        <v>0.1343</v>
      </c>
      <c r="F560" s="3">
        <v>6</v>
      </c>
      <c r="G560" s="3">
        <v>55</v>
      </c>
      <c r="H560" s="3">
        <v>61</v>
      </c>
    </row>
    <row r="561" spans="1:8" ht="15.75" customHeight="1" x14ac:dyDescent="0.25">
      <c r="A561" s="3">
        <v>559</v>
      </c>
      <c r="B561" s="3">
        <v>560</v>
      </c>
      <c r="C561" s="3">
        <v>0.28789999999999999</v>
      </c>
      <c r="D561" s="3">
        <v>0.56000000000000005</v>
      </c>
      <c r="E561" s="3">
        <v>8.9599999999999999E-2</v>
      </c>
      <c r="F561" s="3">
        <v>21</v>
      </c>
      <c r="G561" s="3">
        <v>85</v>
      </c>
      <c r="H561" s="3">
        <v>106</v>
      </c>
    </row>
    <row r="562" spans="1:8" ht="15.75" customHeight="1" x14ac:dyDescent="0.25">
      <c r="A562" s="3">
        <v>560</v>
      </c>
      <c r="B562" s="3">
        <v>561</v>
      </c>
      <c r="C562" s="3">
        <v>0.2727</v>
      </c>
      <c r="D562" s="3">
        <v>0.56000000000000005</v>
      </c>
      <c r="E562" s="3">
        <v>0.1343</v>
      </c>
      <c r="F562" s="3">
        <v>21</v>
      </c>
      <c r="G562" s="3">
        <v>72</v>
      </c>
      <c r="H562" s="3">
        <v>93</v>
      </c>
    </row>
    <row r="563" spans="1:8" ht="15.75" customHeight="1" x14ac:dyDescent="0.25">
      <c r="A563" s="3">
        <v>561</v>
      </c>
      <c r="B563" s="3">
        <v>562</v>
      </c>
      <c r="C563" s="3">
        <v>0.33329999999999999</v>
      </c>
      <c r="D563" s="3">
        <v>0.45</v>
      </c>
      <c r="E563" s="3">
        <v>0</v>
      </c>
      <c r="F563" s="3">
        <v>11</v>
      </c>
      <c r="G563" s="3">
        <v>57</v>
      </c>
      <c r="H563" s="3">
        <v>68</v>
      </c>
    </row>
    <row r="564" spans="1:8" ht="15.75" customHeight="1" x14ac:dyDescent="0.25">
      <c r="A564" s="3">
        <v>562</v>
      </c>
      <c r="B564" s="3">
        <v>563</v>
      </c>
      <c r="C564" s="3">
        <v>0.34849999999999998</v>
      </c>
      <c r="D564" s="3">
        <v>0.42</v>
      </c>
      <c r="E564" s="3">
        <v>0</v>
      </c>
      <c r="F564" s="3">
        <v>21</v>
      </c>
      <c r="G564" s="3">
        <v>63</v>
      </c>
      <c r="H564" s="3">
        <v>84</v>
      </c>
    </row>
    <row r="565" spans="1:8" ht="15.75" customHeight="1" x14ac:dyDescent="0.25">
      <c r="A565" s="3">
        <v>563</v>
      </c>
      <c r="B565" s="3">
        <v>564</v>
      </c>
      <c r="C565" s="3">
        <v>0.34849999999999998</v>
      </c>
      <c r="D565" s="3">
        <v>0.42</v>
      </c>
      <c r="E565" s="3">
        <v>0</v>
      </c>
      <c r="F565" s="3">
        <v>14</v>
      </c>
      <c r="G565" s="3">
        <v>102</v>
      </c>
      <c r="H565" s="3">
        <v>116</v>
      </c>
    </row>
    <row r="566" spans="1:8" ht="15.75" customHeight="1" x14ac:dyDescent="0.25">
      <c r="A566" s="3">
        <v>564</v>
      </c>
      <c r="B566" s="3">
        <v>565</v>
      </c>
      <c r="C566" s="3">
        <v>0.33329999999999999</v>
      </c>
      <c r="D566" s="3">
        <v>0.45</v>
      </c>
      <c r="E566" s="3">
        <v>0</v>
      </c>
      <c r="F566" s="3">
        <v>14</v>
      </c>
      <c r="G566" s="3">
        <v>208</v>
      </c>
      <c r="H566" s="3">
        <v>222</v>
      </c>
    </row>
    <row r="567" spans="1:8" ht="15.75" customHeight="1" x14ac:dyDescent="0.25">
      <c r="A567" s="3">
        <v>565</v>
      </c>
      <c r="B567" s="3">
        <v>566</v>
      </c>
      <c r="C567" s="3">
        <v>0.31819999999999998</v>
      </c>
      <c r="D567" s="3">
        <v>0.49</v>
      </c>
      <c r="E567" s="3">
        <v>8.9599999999999999E-2</v>
      </c>
      <c r="F567" s="3">
        <v>7</v>
      </c>
      <c r="G567" s="3">
        <v>218</v>
      </c>
      <c r="H567" s="3">
        <v>225</v>
      </c>
    </row>
    <row r="568" spans="1:8" ht="15.75" customHeight="1" x14ac:dyDescent="0.25">
      <c r="A568" s="3">
        <v>566</v>
      </c>
      <c r="B568" s="3">
        <v>567</v>
      </c>
      <c r="C568" s="3">
        <v>0.2576</v>
      </c>
      <c r="D568" s="3">
        <v>0.65</v>
      </c>
      <c r="E568" s="3">
        <v>0.16420000000000001</v>
      </c>
      <c r="F568" s="3">
        <v>13</v>
      </c>
      <c r="G568" s="3">
        <v>133</v>
      </c>
      <c r="H568" s="3">
        <v>146</v>
      </c>
    </row>
    <row r="569" spans="1:8" ht="15.75" customHeight="1" x14ac:dyDescent="0.25">
      <c r="A569" s="3">
        <v>567</v>
      </c>
      <c r="B569" s="3">
        <v>568</v>
      </c>
      <c r="C569" s="3">
        <v>0.2273</v>
      </c>
      <c r="D569" s="3">
        <v>0.65</v>
      </c>
      <c r="E569" s="3">
        <v>0.19400000000000001</v>
      </c>
      <c r="F569" s="3">
        <v>16</v>
      </c>
      <c r="G569" s="3">
        <v>103</v>
      </c>
      <c r="H569" s="3">
        <v>119</v>
      </c>
    </row>
    <row r="570" spans="1:8" ht="15.75" customHeight="1" x14ac:dyDescent="0.25">
      <c r="A570" s="3">
        <v>568</v>
      </c>
      <c r="B570" s="3">
        <v>569</v>
      </c>
      <c r="C570" s="3">
        <v>0.2273</v>
      </c>
      <c r="D570" s="3">
        <v>0.65</v>
      </c>
      <c r="E570" s="3">
        <v>0.19400000000000001</v>
      </c>
      <c r="F570" s="3">
        <v>5</v>
      </c>
      <c r="G570" s="3">
        <v>40</v>
      </c>
      <c r="H570" s="3">
        <v>45</v>
      </c>
    </row>
    <row r="571" spans="1:8" ht="15.75" customHeight="1" x14ac:dyDescent="0.25">
      <c r="A571" s="3">
        <v>569</v>
      </c>
      <c r="B571" s="3">
        <v>570</v>
      </c>
      <c r="C571" s="3">
        <v>0.2273</v>
      </c>
      <c r="D571" s="3">
        <v>0.64</v>
      </c>
      <c r="E571" s="3">
        <v>0.16420000000000001</v>
      </c>
      <c r="F571" s="3">
        <v>4</v>
      </c>
      <c r="G571" s="3">
        <v>49</v>
      </c>
      <c r="H571" s="3">
        <v>53</v>
      </c>
    </row>
    <row r="572" spans="1:8" ht="15.75" customHeight="1" x14ac:dyDescent="0.25">
      <c r="A572" s="3">
        <v>570</v>
      </c>
      <c r="B572" s="3">
        <v>571</v>
      </c>
      <c r="C572" s="3">
        <v>0.2273</v>
      </c>
      <c r="D572" s="3">
        <v>0.64</v>
      </c>
      <c r="E572" s="3">
        <v>0.16420000000000001</v>
      </c>
      <c r="F572" s="3">
        <v>3</v>
      </c>
      <c r="G572" s="3">
        <v>37</v>
      </c>
      <c r="H572" s="3">
        <v>40</v>
      </c>
    </row>
    <row r="573" spans="1:8" ht="15.75" customHeight="1" x14ac:dyDescent="0.25">
      <c r="A573" s="3">
        <v>571</v>
      </c>
      <c r="B573" s="3">
        <v>572</v>
      </c>
      <c r="C573" s="3">
        <v>0.2273</v>
      </c>
      <c r="D573" s="3">
        <v>0.69</v>
      </c>
      <c r="E573" s="3">
        <v>0.1343</v>
      </c>
      <c r="F573" s="3">
        <v>3</v>
      </c>
      <c r="G573" s="3">
        <v>14</v>
      </c>
      <c r="H573" s="3">
        <v>17</v>
      </c>
    </row>
    <row r="574" spans="1:8" ht="15.75" customHeight="1" x14ac:dyDescent="0.25">
      <c r="A574" s="3">
        <v>572</v>
      </c>
      <c r="B574" s="3">
        <v>573</v>
      </c>
      <c r="C574" s="3">
        <v>0.2424</v>
      </c>
      <c r="D574" s="3">
        <v>0.65</v>
      </c>
      <c r="E574" s="3">
        <v>0.1343</v>
      </c>
      <c r="F574" s="3">
        <v>0</v>
      </c>
      <c r="G574" s="3">
        <v>5</v>
      </c>
      <c r="H574" s="3">
        <v>5</v>
      </c>
    </row>
    <row r="575" spans="1:8" ht="15.75" customHeight="1" x14ac:dyDescent="0.25">
      <c r="A575" s="3">
        <v>573</v>
      </c>
      <c r="B575" s="3">
        <v>574</v>
      </c>
      <c r="C575" s="3">
        <v>0.2273</v>
      </c>
      <c r="D575" s="3">
        <v>0.69</v>
      </c>
      <c r="E575" s="3">
        <v>0.19400000000000001</v>
      </c>
      <c r="F575" s="3">
        <v>3</v>
      </c>
      <c r="G575" s="3">
        <v>7</v>
      </c>
      <c r="H575" s="3">
        <v>10</v>
      </c>
    </row>
    <row r="576" spans="1:8" ht="15.75" customHeight="1" x14ac:dyDescent="0.25">
      <c r="A576" s="3">
        <v>574</v>
      </c>
      <c r="B576" s="3">
        <v>575</v>
      </c>
      <c r="C576" s="3">
        <v>0.18179999999999999</v>
      </c>
      <c r="D576" s="3">
        <v>0.86</v>
      </c>
      <c r="E576" s="3">
        <v>0.28360000000000002</v>
      </c>
      <c r="F576" s="3">
        <v>0</v>
      </c>
      <c r="G576" s="3">
        <v>1</v>
      </c>
      <c r="H576" s="3">
        <v>1</v>
      </c>
    </row>
    <row r="577" spans="1:8" ht="15.75" customHeight="1" x14ac:dyDescent="0.25">
      <c r="A577" s="3">
        <v>575</v>
      </c>
      <c r="B577" s="3">
        <v>576</v>
      </c>
      <c r="C577" s="3">
        <v>0.18179999999999999</v>
      </c>
      <c r="D577" s="3">
        <v>0.86</v>
      </c>
      <c r="E577" s="3">
        <v>0.28360000000000002</v>
      </c>
      <c r="F577" s="3">
        <v>0</v>
      </c>
      <c r="G577" s="3">
        <v>8</v>
      </c>
      <c r="H577" s="3">
        <v>8</v>
      </c>
    </row>
    <row r="578" spans="1:8" ht="15.75" customHeight="1" x14ac:dyDescent="0.25">
      <c r="A578" s="3">
        <v>576</v>
      </c>
      <c r="B578" s="3">
        <v>577</v>
      </c>
      <c r="C578" s="3">
        <v>0.21210000000000001</v>
      </c>
      <c r="D578" s="3">
        <v>0.87</v>
      </c>
      <c r="E578" s="3">
        <v>0.29849999999999999</v>
      </c>
      <c r="F578" s="3">
        <v>1</v>
      </c>
      <c r="G578" s="3">
        <v>29</v>
      </c>
      <c r="H578" s="3">
        <v>30</v>
      </c>
    </row>
    <row r="579" spans="1:8" ht="15.75" customHeight="1" x14ac:dyDescent="0.25">
      <c r="A579" s="3">
        <v>577</v>
      </c>
      <c r="B579" s="3">
        <v>578</v>
      </c>
      <c r="C579" s="3">
        <v>0.21210000000000001</v>
      </c>
      <c r="D579" s="3">
        <v>0.87</v>
      </c>
      <c r="E579" s="3">
        <v>0.29849999999999999</v>
      </c>
      <c r="F579" s="3">
        <v>3</v>
      </c>
      <c r="G579" s="3">
        <v>69</v>
      </c>
      <c r="H579" s="3">
        <v>72</v>
      </c>
    </row>
    <row r="580" spans="1:8" ht="15.75" customHeight="1" x14ac:dyDescent="0.25">
      <c r="A580" s="3">
        <v>578</v>
      </c>
      <c r="B580" s="3">
        <v>579</v>
      </c>
      <c r="C580" s="3">
        <v>0.21210000000000001</v>
      </c>
      <c r="D580" s="3">
        <v>0.87</v>
      </c>
      <c r="E580" s="3">
        <v>0.29849999999999999</v>
      </c>
      <c r="F580" s="3">
        <v>3</v>
      </c>
      <c r="G580" s="3">
        <v>55</v>
      </c>
      <c r="H580" s="3">
        <v>58</v>
      </c>
    </row>
    <row r="581" spans="1:8" ht="15.75" customHeight="1" x14ac:dyDescent="0.25">
      <c r="A581" s="3">
        <v>579</v>
      </c>
      <c r="B581" s="3">
        <v>580</v>
      </c>
      <c r="C581" s="3">
        <v>0.21210000000000001</v>
      </c>
      <c r="D581" s="3">
        <v>0.93</v>
      </c>
      <c r="E581" s="3">
        <v>0.28360000000000002</v>
      </c>
      <c r="F581" s="3">
        <v>2</v>
      </c>
      <c r="G581" s="3">
        <v>26</v>
      </c>
      <c r="H581" s="3">
        <v>28</v>
      </c>
    </row>
    <row r="582" spans="1:8" ht="15.75" customHeight="1" x14ac:dyDescent="0.25">
      <c r="A582" s="3">
        <v>580</v>
      </c>
      <c r="B582" s="3">
        <v>581</v>
      </c>
      <c r="C582" s="3">
        <v>0.19700000000000001</v>
      </c>
      <c r="D582" s="3">
        <v>0.93</v>
      </c>
      <c r="E582" s="3">
        <v>0.32840000000000003</v>
      </c>
      <c r="F582" s="3">
        <v>6</v>
      </c>
      <c r="G582" s="3">
        <v>35</v>
      </c>
      <c r="H582" s="3">
        <v>41</v>
      </c>
    </row>
    <row r="583" spans="1:8" ht="15.75" customHeight="1" x14ac:dyDescent="0.25">
      <c r="A583" s="3">
        <v>581</v>
      </c>
      <c r="B583" s="3">
        <v>582</v>
      </c>
      <c r="C583" s="3">
        <v>0.19700000000000001</v>
      </c>
      <c r="D583" s="3">
        <v>0.93</v>
      </c>
      <c r="E583" s="3">
        <v>0.32840000000000003</v>
      </c>
      <c r="F583" s="3">
        <v>7</v>
      </c>
      <c r="G583" s="3">
        <v>41</v>
      </c>
      <c r="H583" s="3">
        <v>48</v>
      </c>
    </row>
    <row r="584" spans="1:8" ht="15.75" customHeight="1" x14ac:dyDescent="0.25">
      <c r="A584" s="3">
        <v>582</v>
      </c>
      <c r="B584" s="3">
        <v>583</v>
      </c>
      <c r="C584" s="3">
        <v>0.19700000000000001</v>
      </c>
      <c r="D584" s="3">
        <v>0.93</v>
      </c>
      <c r="E584" s="3">
        <v>0.32840000000000003</v>
      </c>
      <c r="F584" s="3">
        <v>4</v>
      </c>
      <c r="G584" s="3">
        <v>43</v>
      </c>
      <c r="H584" s="3">
        <v>47</v>
      </c>
    </row>
    <row r="585" spans="1:8" ht="15.75" customHeight="1" x14ac:dyDescent="0.25">
      <c r="A585" s="3">
        <v>583</v>
      </c>
      <c r="B585" s="3">
        <v>584</v>
      </c>
      <c r="C585" s="3">
        <v>0.19700000000000001</v>
      </c>
      <c r="D585" s="3">
        <v>0.93</v>
      </c>
      <c r="E585" s="3">
        <v>0.35820000000000002</v>
      </c>
      <c r="F585" s="3">
        <v>0</v>
      </c>
      <c r="G585" s="3">
        <v>36</v>
      </c>
      <c r="H585" s="3">
        <v>36</v>
      </c>
    </row>
    <row r="586" spans="1:8" ht="15.75" customHeight="1" x14ac:dyDescent="0.25">
      <c r="A586" s="3">
        <v>584</v>
      </c>
      <c r="B586" s="3">
        <v>585</v>
      </c>
      <c r="C586" s="3">
        <v>0.18179999999999999</v>
      </c>
      <c r="D586" s="3">
        <v>0.93</v>
      </c>
      <c r="E586" s="3">
        <v>0.4627</v>
      </c>
      <c r="F586" s="3">
        <v>1</v>
      </c>
      <c r="G586" s="3">
        <v>42</v>
      </c>
      <c r="H586" s="3">
        <v>43</v>
      </c>
    </row>
    <row r="587" spans="1:8" ht="15.75" customHeight="1" x14ac:dyDescent="0.25">
      <c r="A587" s="3">
        <v>585</v>
      </c>
      <c r="B587" s="3">
        <v>586</v>
      </c>
      <c r="C587" s="3">
        <v>0.19700000000000001</v>
      </c>
      <c r="D587" s="3">
        <v>0.93</v>
      </c>
      <c r="E587" s="3">
        <v>0.32840000000000003</v>
      </c>
      <c r="F587" s="3">
        <v>1</v>
      </c>
      <c r="G587" s="3">
        <v>35</v>
      </c>
      <c r="H587" s="3">
        <v>36</v>
      </c>
    </row>
    <row r="588" spans="1:8" ht="15.75" customHeight="1" x14ac:dyDescent="0.25">
      <c r="A588" s="3">
        <v>586</v>
      </c>
      <c r="B588" s="3">
        <v>587</v>
      </c>
      <c r="C588" s="3">
        <v>0.18179999999999999</v>
      </c>
      <c r="D588" s="3">
        <v>0.93</v>
      </c>
      <c r="E588" s="3">
        <v>0.35820000000000002</v>
      </c>
      <c r="F588" s="3">
        <v>0</v>
      </c>
      <c r="G588" s="3">
        <v>26</v>
      </c>
      <c r="H588" s="3">
        <v>26</v>
      </c>
    </row>
    <row r="589" spans="1:8" ht="15.75" customHeight="1" x14ac:dyDescent="0.25">
      <c r="A589" s="3">
        <v>587</v>
      </c>
      <c r="B589" s="3">
        <v>588</v>
      </c>
      <c r="C589" s="3">
        <v>0.2273</v>
      </c>
      <c r="D589" s="3">
        <v>0.55000000000000004</v>
      </c>
      <c r="E589" s="3">
        <v>0.19400000000000001</v>
      </c>
      <c r="F589" s="3">
        <v>1</v>
      </c>
      <c r="G589" s="3">
        <v>23</v>
      </c>
      <c r="H589" s="3">
        <v>24</v>
      </c>
    </row>
    <row r="590" spans="1:8" ht="15.75" customHeight="1" x14ac:dyDescent="0.25">
      <c r="A590" s="3">
        <v>588</v>
      </c>
      <c r="B590" s="3">
        <v>589</v>
      </c>
      <c r="C590" s="3">
        <v>0.2424</v>
      </c>
      <c r="D590" s="3">
        <v>0.55000000000000004</v>
      </c>
      <c r="E590" s="3">
        <v>0.1045</v>
      </c>
      <c r="F590" s="3">
        <v>2</v>
      </c>
      <c r="G590" s="3">
        <v>82</v>
      </c>
      <c r="H590" s="3">
        <v>84</v>
      </c>
    </row>
    <row r="591" spans="1:8" ht="15.75" customHeight="1" x14ac:dyDescent="0.25">
      <c r="A591" s="3">
        <v>589</v>
      </c>
      <c r="B591" s="3">
        <v>590</v>
      </c>
      <c r="C591" s="3">
        <v>0.2273</v>
      </c>
      <c r="D591" s="3">
        <v>0.69</v>
      </c>
      <c r="E591" s="3">
        <v>8.9599999999999999E-2</v>
      </c>
      <c r="F591" s="3">
        <v>3</v>
      </c>
      <c r="G591" s="3">
        <v>101</v>
      </c>
      <c r="H591" s="3">
        <v>104</v>
      </c>
    </row>
    <row r="592" spans="1:8" ht="15.75" customHeight="1" x14ac:dyDescent="0.25">
      <c r="A592" s="3">
        <v>590</v>
      </c>
      <c r="B592" s="3">
        <v>591</v>
      </c>
      <c r="C592" s="3">
        <v>0.2273</v>
      </c>
      <c r="D592" s="3">
        <v>0.69</v>
      </c>
      <c r="E592" s="3">
        <v>8.9599999999999999E-2</v>
      </c>
      <c r="F592" s="3">
        <v>3</v>
      </c>
      <c r="G592" s="3">
        <v>76</v>
      </c>
      <c r="H592" s="3">
        <v>79</v>
      </c>
    </row>
    <row r="593" spans="1:8" ht="15.75" customHeight="1" x14ac:dyDescent="0.25">
      <c r="A593" s="3">
        <v>591</v>
      </c>
      <c r="B593" s="3">
        <v>592</v>
      </c>
      <c r="C593" s="3">
        <v>0.21210000000000001</v>
      </c>
      <c r="D593" s="3">
        <v>0.74</v>
      </c>
      <c r="E593" s="3">
        <v>8.9599999999999999E-2</v>
      </c>
      <c r="F593" s="3">
        <v>4</v>
      </c>
      <c r="G593" s="3">
        <v>55</v>
      </c>
      <c r="H593" s="3">
        <v>59</v>
      </c>
    </row>
    <row r="594" spans="1:8" ht="15.75" customHeight="1" x14ac:dyDescent="0.25">
      <c r="A594" s="3">
        <v>592</v>
      </c>
      <c r="B594" s="3">
        <v>593</v>
      </c>
      <c r="C594" s="3">
        <v>0.21210000000000001</v>
      </c>
      <c r="D594" s="3">
        <v>0.74</v>
      </c>
      <c r="E594" s="3">
        <v>8.9599999999999999E-2</v>
      </c>
      <c r="F594" s="3">
        <v>2</v>
      </c>
      <c r="G594" s="3">
        <v>36</v>
      </c>
      <c r="H594" s="3">
        <v>38</v>
      </c>
    </row>
    <row r="595" spans="1:8" ht="15.75" customHeight="1" x14ac:dyDescent="0.25">
      <c r="A595" s="3">
        <v>593</v>
      </c>
      <c r="B595" s="3">
        <v>594</v>
      </c>
      <c r="C595" s="3">
        <v>0.21210000000000001</v>
      </c>
      <c r="D595" s="3">
        <v>0.74</v>
      </c>
      <c r="E595" s="3">
        <v>8.9599999999999999E-2</v>
      </c>
      <c r="F595" s="3">
        <v>0</v>
      </c>
      <c r="G595" s="3">
        <v>27</v>
      </c>
      <c r="H595" s="3">
        <v>27</v>
      </c>
    </row>
    <row r="596" spans="1:8" ht="15.75" customHeight="1" x14ac:dyDescent="0.25">
      <c r="A596" s="3">
        <v>594</v>
      </c>
      <c r="B596" s="3">
        <v>595</v>
      </c>
      <c r="C596" s="3">
        <v>0.19700000000000001</v>
      </c>
      <c r="D596" s="3">
        <v>0.8</v>
      </c>
      <c r="E596" s="3">
        <v>0.16420000000000001</v>
      </c>
      <c r="F596" s="3">
        <v>0</v>
      </c>
      <c r="G596" s="3">
        <v>16</v>
      </c>
      <c r="H596" s="3">
        <v>16</v>
      </c>
    </row>
    <row r="597" spans="1:8" ht="15.75" customHeight="1" x14ac:dyDescent="0.25">
      <c r="A597" s="3">
        <v>595</v>
      </c>
      <c r="B597" s="3">
        <v>596</v>
      </c>
      <c r="C597" s="3">
        <v>0.21210000000000001</v>
      </c>
      <c r="D597" s="3">
        <v>0.75</v>
      </c>
      <c r="E597" s="3">
        <v>0.1343</v>
      </c>
      <c r="F597" s="3">
        <v>0</v>
      </c>
      <c r="G597" s="3">
        <v>9</v>
      </c>
      <c r="H597" s="3">
        <v>9</v>
      </c>
    </row>
    <row r="598" spans="1:8" ht="15.75" customHeight="1" x14ac:dyDescent="0.25">
      <c r="A598" s="3">
        <v>596</v>
      </c>
      <c r="B598" s="3">
        <v>597</v>
      </c>
      <c r="C598" s="3">
        <v>0.21210000000000001</v>
      </c>
      <c r="D598" s="3">
        <v>0.75</v>
      </c>
      <c r="E598" s="3">
        <v>0.1343</v>
      </c>
      <c r="F598" s="3">
        <v>1</v>
      </c>
      <c r="G598" s="3">
        <v>2</v>
      </c>
      <c r="H598" s="3">
        <v>3</v>
      </c>
    </row>
    <row r="599" spans="1:8" ht="15.75" customHeight="1" x14ac:dyDescent="0.25">
      <c r="A599" s="3">
        <v>597</v>
      </c>
      <c r="B599" s="3">
        <v>598</v>
      </c>
      <c r="C599" s="3">
        <v>0.21210000000000001</v>
      </c>
      <c r="D599" s="3">
        <v>0.75</v>
      </c>
      <c r="E599" s="3">
        <v>0.16420000000000001</v>
      </c>
      <c r="F599" s="3">
        <v>0</v>
      </c>
      <c r="G599" s="3">
        <v>2</v>
      </c>
      <c r="H599" s="3">
        <v>2</v>
      </c>
    </row>
    <row r="600" spans="1:8" ht="15.75" customHeight="1" x14ac:dyDescent="0.25">
      <c r="A600" s="3">
        <v>598</v>
      </c>
      <c r="B600" s="3">
        <v>599</v>
      </c>
      <c r="C600" s="3">
        <v>0.2273</v>
      </c>
      <c r="D600" s="3">
        <v>0.75</v>
      </c>
      <c r="E600" s="3">
        <v>0.1045</v>
      </c>
      <c r="F600" s="3">
        <v>1</v>
      </c>
      <c r="G600" s="3">
        <v>0</v>
      </c>
      <c r="H600" s="3">
        <v>1</v>
      </c>
    </row>
    <row r="601" spans="1:8" ht="15.75" customHeight="1" x14ac:dyDescent="0.25">
      <c r="A601" s="3">
        <v>599</v>
      </c>
      <c r="B601" s="3">
        <v>600</v>
      </c>
      <c r="C601" s="3">
        <v>0.21210000000000001</v>
      </c>
      <c r="D601" s="3">
        <v>0.8</v>
      </c>
      <c r="E601" s="3">
        <v>0.1045</v>
      </c>
      <c r="F601" s="3">
        <v>0</v>
      </c>
      <c r="G601" s="3">
        <v>4</v>
      </c>
      <c r="H601" s="3">
        <v>4</v>
      </c>
    </row>
    <row r="602" spans="1:8" ht="15.75" customHeight="1" x14ac:dyDescent="0.25">
      <c r="A602" s="3">
        <v>600</v>
      </c>
      <c r="B602" s="3">
        <v>601</v>
      </c>
      <c r="C602" s="3">
        <v>0.19700000000000001</v>
      </c>
      <c r="D602" s="3">
        <v>0.8</v>
      </c>
      <c r="E602" s="3">
        <v>0.1343</v>
      </c>
      <c r="F602" s="3">
        <v>0</v>
      </c>
      <c r="G602" s="3">
        <v>16</v>
      </c>
      <c r="H602" s="3">
        <v>16</v>
      </c>
    </row>
    <row r="603" spans="1:8" ht="15.75" customHeight="1" x14ac:dyDescent="0.25">
      <c r="A603" s="3">
        <v>601</v>
      </c>
      <c r="B603" s="3">
        <v>602</v>
      </c>
      <c r="C603" s="3">
        <v>0.19700000000000001</v>
      </c>
      <c r="D603" s="3">
        <v>0.86</v>
      </c>
      <c r="E603" s="3">
        <v>8.9599999999999999E-2</v>
      </c>
      <c r="F603" s="3">
        <v>2</v>
      </c>
      <c r="G603" s="3">
        <v>58</v>
      </c>
      <c r="H603" s="3">
        <v>60</v>
      </c>
    </row>
    <row r="604" spans="1:8" ht="15.75" customHeight="1" x14ac:dyDescent="0.25">
      <c r="A604" s="3">
        <v>602</v>
      </c>
      <c r="B604" s="3">
        <v>603</v>
      </c>
      <c r="C604" s="3">
        <v>0.19700000000000001</v>
      </c>
      <c r="D604" s="3">
        <v>0.86</v>
      </c>
      <c r="E604" s="3">
        <v>8.9599999999999999E-2</v>
      </c>
      <c r="F604" s="3">
        <v>2</v>
      </c>
      <c r="G604" s="3">
        <v>155</v>
      </c>
      <c r="H604" s="3">
        <v>157</v>
      </c>
    </row>
    <row r="605" spans="1:8" ht="15.75" customHeight="1" x14ac:dyDescent="0.25">
      <c r="A605" s="3">
        <v>603</v>
      </c>
      <c r="B605" s="3">
        <v>604</v>
      </c>
      <c r="C605" s="3">
        <v>0.21210000000000001</v>
      </c>
      <c r="D605" s="3">
        <v>0.86</v>
      </c>
      <c r="E605" s="3">
        <v>8.9599999999999999E-2</v>
      </c>
      <c r="F605" s="3">
        <v>6</v>
      </c>
      <c r="G605" s="3">
        <v>95</v>
      </c>
      <c r="H605" s="3">
        <v>101</v>
      </c>
    </row>
    <row r="606" spans="1:8" ht="15.75" customHeight="1" x14ac:dyDescent="0.25">
      <c r="A606" s="3">
        <v>604</v>
      </c>
      <c r="B606" s="3">
        <v>605</v>
      </c>
      <c r="C606" s="3">
        <v>0.21210000000000001</v>
      </c>
      <c r="D606" s="3">
        <v>0.86</v>
      </c>
      <c r="E606" s="3">
        <v>0.1045</v>
      </c>
      <c r="F606" s="3">
        <v>0</v>
      </c>
      <c r="G606" s="3">
        <v>49</v>
      </c>
      <c r="H606" s="3">
        <v>49</v>
      </c>
    </row>
    <row r="607" spans="1:8" ht="15.75" customHeight="1" x14ac:dyDescent="0.25">
      <c r="A607" s="3">
        <v>605</v>
      </c>
      <c r="B607" s="3">
        <v>606</v>
      </c>
      <c r="C607" s="3">
        <v>0.21210000000000001</v>
      </c>
      <c r="D607" s="3">
        <v>0.93</v>
      </c>
      <c r="E607" s="3">
        <v>0.1045</v>
      </c>
      <c r="F607" s="3">
        <v>0</v>
      </c>
      <c r="G607" s="3">
        <v>30</v>
      </c>
      <c r="H607" s="3">
        <v>30</v>
      </c>
    </row>
    <row r="608" spans="1:8" ht="15.75" customHeight="1" x14ac:dyDescent="0.25">
      <c r="A608" s="3">
        <v>606</v>
      </c>
      <c r="B608" s="3">
        <v>607</v>
      </c>
      <c r="C608" s="3">
        <v>0.21210000000000001</v>
      </c>
      <c r="D608" s="3">
        <v>0.93</v>
      </c>
      <c r="E608" s="3">
        <v>0.1045</v>
      </c>
      <c r="F608" s="3">
        <v>1</v>
      </c>
      <c r="G608" s="3">
        <v>28</v>
      </c>
      <c r="H608" s="3">
        <v>29</v>
      </c>
    </row>
    <row r="609" spans="1:8" ht="15.75" customHeight="1" x14ac:dyDescent="0.25">
      <c r="A609" s="3">
        <v>607</v>
      </c>
      <c r="B609" s="3">
        <v>608</v>
      </c>
      <c r="C609" s="3">
        <v>0.21210000000000001</v>
      </c>
      <c r="D609" s="3">
        <v>0.93</v>
      </c>
      <c r="E609" s="3">
        <v>0.1045</v>
      </c>
      <c r="F609" s="3">
        <v>0</v>
      </c>
      <c r="G609" s="3">
        <v>31</v>
      </c>
      <c r="H609" s="3">
        <v>31</v>
      </c>
    </row>
    <row r="610" spans="1:8" ht="15.75" customHeight="1" x14ac:dyDescent="0.25">
      <c r="A610" s="3">
        <v>608</v>
      </c>
      <c r="B610" s="3">
        <v>609</v>
      </c>
      <c r="C610" s="3">
        <v>0.2727</v>
      </c>
      <c r="D610" s="3">
        <v>0.8</v>
      </c>
      <c r="E610" s="3">
        <v>0</v>
      </c>
      <c r="F610" s="3">
        <v>2</v>
      </c>
      <c r="G610" s="3">
        <v>36</v>
      </c>
      <c r="H610" s="3">
        <v>38</v>
      </c>
    </row>
    <row r="611" spans="1:8" ht="15.75" customHeight="1" x14ac:dyDescent="0.25">
      <c r="A611" s="3">
        <v>609</v>
      </c>
      <c r="B611" s="3">
        <v>610</v>
      </c>
      <c r="C611" s="3">
        <v>0.2576</v>
      </c>
      <c r="D611" s="3">
        <v>0.86</v>
      </c>
      <c r="E611" s="3">
        <v>0</v>
      </c>
      <c r="F611" s="3">
        <v>1</v>
      </c>
      <c r="G611" s="3">
        <v>40</v>
      </c>
      <c r="H611" s="3">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06EF-AA30-4971-9F5A-EDA7B1AC7656}">
  <dimension ref="A3:A7"/>
  <sheetViews>
    <sheetView workbookViewId="0">
      <selection activeCell="A3" sqref="A3"/>
    </sheetView>
  </sheetViews>
  <sheetFormatPr defaultRowHeight="13.2" x14ac:dyDescent="0.25"/>
  <cols>
    <col min="1" max="1" width="13.33203125" bestFit="1" customWidth="1"/>
  </cols>
  <sheetData>
    <row r="3" spans="1:1" x14ac:dyDescent="0.25">
      <c r="A3" s="4" t="s">
        <v>20</v>
      </c>
    </row>
    <row r="4" spans="1:1" x14ac:dyDescent="0.25">
      <c r="A4" s="5" t="s">
        <v>21</v>
      </c>
    </row>
    <row r="5" spans="1:1" x14ac:dyDescent="0.25">
      <c r="A5" s="5" t="s">
        <v>22</v>
      </c>
    </row>
    <row r="6" spans="1:1" x14ac:dyDescent="0.25">
      <c r="A6" s="5" t="s">
        <v>23</v>
      </c>
    </row>
    <row r="7" spans="1:1" x14ac:dyDescent="0.25">
      <c r="A7" s="5"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7DCC-F2C6-4F91-A34B-7E501376E3CB}">
  <dimension ref="A3:F8"/>
  <sheetViews>
    <sheetView tabSelected="1" workbookViewId="0">
      <selection activeCell="D17" sqref="D17"/>
    </sheetView>
  </sheetViews>
  <sheetFormatPr defaultRowHeight="13.2" x14ac:dyDescent="0.25"/>
  <cols>
    <col min="1" max="1" width="13.33203125" bestFit="1" customWidth="1"/>
    <col min="2" max="2" width="16.21875" bestFit="1" customWidth="1"/>
    <col min="3" max="3" width="6.77734375" bestFit="1" customWidth="1"/>
    <col min="4" max="4" width="10.77734375" bestFit="1" customWidth="1"/>
    <col min="5" max="5" width="5" bestFit="1" customWidth="1"/>
    <col min="6" max="6" width="11.33203125" bestFit="1" customWidth="1"/>
  </cols>
  <sheetData>
    <row r="3" spans="1:6" x14ac:dyDescent="0.25">
      <c r="A3" s="4" t="s">
        <v>25</v>
      </c>
      <c r="B3" s="4" t="s">
        <v>26</v>
      </c>
    </row>
    <row r="4" spans="1:6" x14ac:dyDescent="0.25">
      <c r="A4" s="4" t="s">
        <v>20</v>
      </c>
      <c r="B4" t="s">
        <v>27</v>
      </c>
      <c r="C4" t="s">
        <v>28</v>
      </c>
      <c r="D4" t="s">
        <v>29</v>
      </c>
      <c r="E4" t="s">
        <v>30</v>
      </c>
      <c r="F4" t="s">
        <v>24</v>
      </c>
    </row>
    <row r="5" spans="1:6" x14ac:dyDescent="0.25">
      <c r="A5" s="5" t="s">
        <v>21</v>
      </c>
      <c r="B5" s="6">
        <v>9372</v>
      </c>
      <c r="C5" s="6">
        <v>4699</v>
      </c>
      <c r="D5" s="6">
        <v>26</v>
      </c>
      <c r="E5" s="6">
        <v>511</v>
      </c>
      <c r="F5" s="6">
        <v>14608</v>
      </c>
    </row>
    <row r="6" spans="1:6" x14ac:dyDescent="0.25">
      <c r="A6" s="5" t="s">
        <v>22</v>
      </c>
      <c r="B6" s="6">
        <v>4690</v>
      </c>
      <c r="C6" s="6">
        <v>1583</v>
      </c>
      <c r="D6" s="6"/>
      <c r="E6" s="6">
        <v>311</v>
      </c>
      <c r="F6" s="6">
        <v>6584</v>
      </c>
    </row>
    <row r="7" spans="1:6" x14ac:dyDescent="0.25">
      <c r="A7" s="5" t="s">
        <v>23</v>
      </c>
      <c r="B7" s="6">
        <v>8077</v>
      </c>
      <c r="C7" s="6">
        <v>4063</v>
      </c>
      <c r="D7" s="6"/>
      <c r="E7" s="6">
        <v>550</v>
      </c>
      <c r="F7" s="6">
        <v>12690</v>
      </c>
    </row>
    <row r="8" spans="1:6" x14ac:dyDescent="0.25">
      <c r="A8" s="5" t="s">
        <v>24</v>
      </c>
      <c r="B8" s="6">
        <v>22139</v>
      </c>
      <c r="C8" s="6">
        <v>10345</v>
      </c>
      <c r="D8" s="6">
        <v>26</v>
      </c>
      <c r="E8" s="6">
        <v>1372</v>
      </c>
      <c r="F8" s="6">
        <v>33882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135F-A982-4661-8FE1-457A9BE85EAB}">
  <dimension ref="B1:T29"/>
  <sheetViews>
    <sheetView showGridLines="0" zoomScale="97" zoomScaleNormal="97" workbookViewId="0">
      <selection activeCell="S8" sqref="S8"/>
    </sheetView>
  </sheetViews>
  <sheetFormatPr defaultRowHeight="13.2" x14ac:dyDescent="0.25"/>
  <sheetData>
    <row r="1" spans="2:20" ht="21" x14ac:dyDescent="0.25">
      <c r="H1" s="11" t="s">
        <v>33</v>
      </c>
      <c r="I1" s="7"/>
      <c r="J1" s="7"/>
      <c r="K1" s="7"/>
    </row>
    <row r="2" spans="2:20" x14ac:dyDescent="0.25">
      <c r="C2" s="8" t="s">
        <v>35</v>
      </c>
      <c r="M2" s="8" t="s">
        <v>36</v>
      </c>
    </row>
    <row r="8" spans="2:20" x14ac:dyDescent="0.25">
      <c r="S8" s="9" t="s">
        <v>41</v>
      </c>
    </row>
    <row r="9" spans="2:20" x14ac:dyDescent="0.25">
      <c r="S9" s="9" t="s">
        <v>43</v>
      </c>
    </row>
    <row r="10" spans="2:20" x14ac:dyDescent="0.25">
      <c r="S10" s="9" t="s">
        <v>42</v>
      </c>
      <c r="T10" s="9" t="s">
        <v>39</v>
      </c>
    </row>
    <row r="11" spans="2:20" x14ac:dyDescent="0.25">
      <c r="S11" s="9" t="s">
        <v>44</v>
      </c>
      <c r="T11" s="9" t="s">
        <v>40</v>
      </c>
    </row>
    <row r="16" spans="2:20" x14ac:dyDescent="0.25">
      <c r="B16" s="8" t="s">
        <v>38</v>
      </c>
      <c r="K16" s="9" t="s">
        <v>39</v>
      </c>
    </row>
    <row r="17" spans="2:13" x14ac:dyDescent="0.25">
      <c r="D17" s="8" t="s">
        <v>37</v>
      </c>
      <c r="M17" s="8" t="s">
        <v>34</v>
      </c>
    </row>
    <row r="29" spans="2:13" x14ac:dyDescent="0.25">
      <c r="B29" s="10" t="s">
        <v>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8969-632E-4194-A5AC-E78465D9024B}">
  <dimension ref="A3:B8"/>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27</v>
      </c>
      <c r="B4" s="6">
        <v>22139</v>
      </c>
    </row>
    <row r="5" spans="1:2" x14ac:dyDescent="0.25">
      <c r="A5" s="5" t="s">
        <v>28</v>
      </c>
      <c r="B5" s="6">
        <v>10345</v>
      </c>
    </row>
    <row r="6" spans="1:2" x14ac:dyDescent="0.25">
      <c r="A6" s="5" t="s">
        <v>29</v>
      </c>
      <c r="B6" s="6">
        <v>26</v>
      </c>
    </row>
    <row r="7" spans="1:2" x14ac:dyDescent="0.25">
      <c r="A7" s="5" t="s">
        <v>30</v>
      </c>
      <c r="B7" s="6">
        <v>1372</v>
      </c>
    </row>
    <row r="8" spans="1:2" x14ac:dyDescent="0.25">
      <c r="A8" s="5" t="s">
        <v>24</v>
      </c>
      <c r="B8" s="6">
        <v>33882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3CCE-39CC-4D10-B340-DFA9F43925D1}">
  <dimension ref="A3:B6"/>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31</v>
      </c>
      <c r="B4" s="6">
        <v>25944</v>
      </c>
    </row>
    <row r="5" spans="1:2" x14ac:dyDescent="0.25">
      <c r="A5" s="5" t="s">
        <v>32</v>
      </c>
      <c r="B5" s="6">
        <v>7938</v>
      </c>
    </row>
    <row r="6" spans="1:2" x14ac:dyDescent="0.25">
      <c r="A6" s="5" t="s">
        <v>24</v>
      </c>
      <c r="B6" s="6">
        <v>33882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11"/>
  <sheetViews>
    <sheetView zoomScale="76" zoomScaleNormal="76" workbookViewId="0">
      <selection sqref="A1:N611"/>
    </sheetView>
  </sheetViews>
  <sheetFormatPr defaultColWidth="12.6640625" defaultRowHeight="15.75" customHeight="1" x14ac:dyDescent="0.25"/>
  <sheetData>
    <row r="1" spans="1:14" x14ac:dyDescent="0.25">
      <c r="A1" s="1" t="s">
        <v>0</v>
      </c>
      <c r="B1" s="1" t="s">
        <v>1</v>
      </c>
      <c r="C1" s="1" t="s">
        <v>2</v>
      </c>
      <c r="D1" s="1" t="s">
        <v>3</v>
      </c>
      <c r="E1" s="1" t="s">
        <v>4</v>
      </c>
      <c r="F1" s="1" t="s">
        <v>5</v>
      </c>
      <c r="G1" s="1" t="s">
        <v>6</v>
      </c>
      <c r="H1" s="1" t="s">
        <v>7</v>
      </c>
      <c r="I1" s="1" t="s">
        <v>8</v>
      </c>
      <c r="J1" s="1" t="s">
        <v>9</v>
      </c>
      <c r="K1" s="1" t="s">
        <v>17</v>
      </c>
      <c r="L1" s="1" t="s">
        <v>18</v>
      </c>
      <c r="M1" s="1" t="s">
        <v>19</v>
      </c>
      <c r="N1" s="1" t="s">
        <v>16</v>
      </c>
    </row>
    <row r="2" spans="1:14" x14ac:dyDescent="0.25">
      <c r="A2" s="1">
        <v>1</v>
      </c>
      <c r="B2" s="2">
        <v>40544</v>
      </c>
      <c r="C2" s="1">
        <v>1</v>
      </c>
      <c r="D2" s="1">
        <v>0</v>
      </c>
      <c r="E2" s="1">
        <v>1</v>
      </c>
      <c r="F2" s="1">
        <v>0</v>
      </c>
      <c r="G2" s="1" t="b">
        <v>0</v>
      </c>
      <c r="H2" s="1">
        <v>6</v>
      </c>
      <c r="I2" s="1">
        <v>1</v>
      </c>
      <c r="J2" s="1">
        <v>0.24</v>
      </c>
      <c r="K2" t="str">
        <f>IF(OR(H2=0,H2=6),"Weekend","Weekday")</f>
        <v>Weekend</v>
      </c>
      <c r="L2" t="str">
        <f>IF(F2&lt;12,"Morning",IF(F2&lt;18,"Afternoon","Evening"))</f>
        <v>Morning</v>
      </c>
      <c r="M2" t="str">
        <f>IF(I2=1,"Clear",IF(I2=2,"cloudy",IF(I2=3,"Rain","Heavy Rain")))</f>
        <v>Clear</v>
      </c>
      <c r="N2">
        <f>IFERROR(VLOOKUP(A2,Dataset2!A:Z,8,FALSE),"")</f>
        <v>40</v>
      </c>
    </row>
    <row r="3" spans="1:14" x14ac:dyDescent="0.25">
      <c r="A3" s="1">
        <v>2</v>
      </c>
      <c r="B3" s="2">
        <v>40544</v>
      </c>
      <c r="C3" s="1">
        <v>1</v>
      </c>
      <c r="D3" s="1">
        <v>0</v>
      </c>
      <c r="E3" s="1">
        <v>1</v>
      </c>
      <c r="F3" s="1">
        <v>1</v>
      </c>
      <c r="G3" s="1" t="b">
        <v>0</v>
      </c>
      <c r="H3" s="1">
        <v>6</v>
      </c>
      <c r="I3" s="1">
        <v>1</v>
      </c>
      <c r="J3" s="1">
        <v>0.22</v>
      </c>
      <c r="K3" t="str">
        <f t="shared" ref="K3:K66" si="0">IF(OR(H3=0,H3=6),"Weekend","Weekday")</f>
        <v>Weekend</v>
      </c>
      <c r="L3" t="str">
        <f t="shared" ref="L3:L66" si="1">IF(F3&lt;12,"Morning",IF(F3&lt;18,"Afternoon","Evening"))</f>
        <v>Morning</v>
      </c>
      <c r="M3" t="str">
        <f t="shared" ref="M3:M66" si="2">IF(I3=1,"Clear",IF(I3=2,"cloudy",IF(I3=3,"Rain","Heavy Rain")))</f>
        <v>Clear</v>
      </c>
      <c r="N3">
        <f>IFERROR(VLOOKUP(A3,Dataset2!A:Z,8,FALSE),"")</f>
        <v>32</v>
      </c>
    </row>
    <row r="4" spans="1:14" x14ac:dyDescent="0.25">
      <c r="A4" s="1">
        <v>3</v>
      </c>
      <c r="B4" s="2">
        <v>40544</v>
      </c>
      <c r="C4" s="1">
        <v>1</v>
      </c>
      <c r="D4" s="1">
        <v>0</v>
      </c>
      <c r="E4" s="1">
        <v>1</v>
      </c>
      <c r="F4" s="1">
        <v>2</v>
      </c>
      <c r="G4" s="1" t="b">
        <v>0</v>
      </c>
      <c r="H4" s="1">
        <v>6</v>
      </c>
      <c r="I4" s="1">
        <v>1</v>
      </c>
      <c r="J4" s="1">
        <v>0.22</v>
      </c>
      <c r="K4" t="str">
        <f t="shared" si="0"/>
        <v>Weekend</v>
      </c>
      <c r="L4" t="str">
        <f t="shared" si="1"/>
        <v>Morning</v>
      </c>
      <c r="M4" t="str">
        <f t="shared" si="2"/>
        <v>Clear</v>
      </c>
      <c r="N4">
        <f>IFERROR(VLOOKUP(A4,Dataset2!A:Z,8,FALSE),"")</f>
        <v>13</v>
      </c>
    </row>
    <row r="5" spans="1:14" x14ac:dyDescent="0.25">
      <c r="A5" s="1">
        <v>4</v>
      </c>
      <c r="B5" s="2">
        <v>40544</v>
      </c>
      <c r="C5" s="1">
        <v>1</v>
      </c>
      <c r="D5" s="1">
        <v>0</v>
      </c>
      <c r="E5" s="1">
        <v>1</v>
      </c>
      <c r="F5" s="1">
        <v>3</v>
      </c>
      <c r="G5" s="1" t="b">
        <v>0</v>
      </c>
      <c r="H5" s="1">
        <v>6</v>
      </c>
      <c r="I5" s="1">
        <v>1</v>
      </c>
      <c r="J5" s="1">
        <v>0.24</v>
      </c>
      <c r="K5" t="str">
        <f t="shared" si="0"/>
        <v>Weekend</v>
      </c>
      <c r="L5" t="str">
        <f t="shared" si="1"/>
        <v>Morning</v>
      </c>
      <c r="M5" t="str">
        <f t="shared" si="2"/>
        <v>Clear</v>
      </c>
      <c r="N5">
        <f>IFERROR(VLOOKUP(A5,Dataset2!A:Z,8,FALSE),"")</f>
        <v>1</v>
      </c>
    </row>
    <row r="6" spans="1:14" x14ac:dyDescent="0.25">
      <c r="A6" s="1">
        <v>5</v>
      </c>
      <c r="B6" s="2">
        <v>40544</v>
      </c>
      <c r="C6" s="1">
        <v>1</v>
      </c>
      <c r="D6" s="1">
        <v>0</v>
      </c>
      <c r="E6" s="1">
        <v>1</v>
      </c>
      <c r="F6" s="1">
        <v>4</v>
      </c>
      <c r="G6" s="1" t="b">
        <v>0</v>
      </c>
      <c r="H6" s="1">
        <v>6</v>
      </c>
      <c r="I6" s="1">
        <v>1</v>
      </c>
      <c r="J6" s="1">
        <v>0.24</v>
      </c>
      <c r="K6" t="str">
        <f t="shared" si="0"/>
        <v>Weekend</v>
      </c>
      <c r="L6" t="str">
        <f t="shared" si="1"/>
        <v>Morning</v>
      </c>
      <c r="M6" t="str">
        <f t="shared" si="2"/>
        <v>Clear</v>
      </c>
      <c r="N6">
        <f>IFERROR(VLOOKUP(A6,Dataset2!A:Z,8,FALSE),"")</f>
        <v>1</v>
      </c>
    </row>
    <row r="7" spans="1:14" x14ac:dyDescent="0.25">
      <c r="A7" s="1">
        <v>6</v>
      </c>
      <c r="B7" s="2">
        <v>40544</v>
      </c>
      <c r="C7" s="1">
        <v>1</v>
      </c>
      <c r="D7" s="1">
        <v>0</v>
      </c>
      <c r="E7" s="1">
        <v>1</v>
      </c>
      <c r="F7" s="1">
        <v>5</v>
      </c>
      <c r="G7" s="1" t="b">
        <v>0</v>
      </c>
      <c r="H7" s="1">
        <v>6</v>
      </c>
      <c r="I7" s="1">
        <v>2</v>
      </c>
      <c r="J7" s="1">
        <v>0.24</v>
      </c>
      <c r="K7" t="str">
        <f t="shared" si="0"/>
        <v>Weekend</v>
      </c>
      <c r="L7" t="str">
        <f t="shared" si="1"/>
        <v>Morning</v>
      </c>
      <c r="M7" t="str">
        <f t="shared" si="2"/>
        <v>cloudy</v>
      </c>
      <c r="N7">
        <f>IFERROR(VLOOKUP(A7,Dataset2!A:Z,8,FALSE),"")</f>
        <v>2</v>
      </c>
    </row>
    <row r="8" spans="1:14" x14ac:dyDescent="0.25">
      <c r="A8" s="1">
        <v>7</v>
      </c>
      <c r="B8" s="2">
        <v>40544</v>
      </c>
      <c r="C8" s="1">
        <v>1</v>
      </c>
      <c r="D8" s="1">
        <v>0</v>
      </c>
      <c r="E8" s="1">
        <v>1</v>
      </c>
      <c r="F8" s="1">
        <v>6</v>
      </c>
      <c r="G8" s="1" t="b">
        <v>0</v>
      </c>
      <c r="H8" s="1">
        <v>6</v>
      </c>
      <c r="I8" s="1">
        <v>1</v>
      </c>
      <c r="J8" s="1">
        <v>0.22</v>
      </c>
      <c r="K8" t="str">
        <f t="shared" si="0"/>
        <v>Weekend</v>
      </c>
      <c r="L8" t="str">
        <f t="shared" si="1"/>
        <v>Morning</v>
      </c>
      <c r="M8" t="str">
        <f t="shared" si="2"/>
        <v>Clear</v>
      </c>
      <c r="N8">
        <f>IFERROR(VLOOKUP(A8,Dataset2!A:Z,8,FALSE),"")</f>
        <v>3</v>
      </c>
    </row>
    <row r="9" spans="1:14" x14ac:dyDescent="0.25">
      <c r="A9" s="1">
        <v>8</v>
      </c>
      <c r="B9" s="2">
        <v>40544</v>
      </c>
      <c r="C9" s="1">
        <v>1</v>
      </c>
      <c r="D9" s="1">
        <v>0</v>
      </c>
      <c r="E9" s="1">
        <v>1</v>
      </c>
      <c r="F9" s="1">
        <v>7</v>
      </c>
      <c r="G9" s="1" t="b">
        <v>0</v>
      </c>
      <c r="H9" s="1">
        <v>6</v>
      </c>
      <c r="I9" s="1">
        <v>1</v>
      </c>
      <c r="J9" s="1">
        <v>0.2</v>
      </c>
      <c r="K9" t="str">
        <f t="shared" si="0"/>
        <v>Weekend</v>
      </c>
      <c r="L9" t="str">
        <f t="shared" si="1"/>
        <v>Morning</v>
      </c>
      <c r="M9" t="str">
        <f t="shared" si="2"/>
        <v>Clear</v>
      </c>
      <c r="N9">
        <f>IFERROR(VLOOKUP(A9,Dataset2!A:Z,8,FALSE),"")</f>
        <v>8</v>
      </c>
    </row>
    <row r="10" spans="1:14" x14ac:dyDescent="0.25">
      <c r="A10" s="1">
        <v>9</v>
      </c>
      <c r="B10" s="2">
        <v>40544</v>
      </c>
      <c r="C10" s="1">
        <v>1</v>
      </c>
      <c r="D10" s="1">
        <v>0</v>
      </c>
      <c r="E10" s="1">
        <v>1</v>
      </c>
      <c r="F10" s="1">
        <v>8</v>
      </c>
      <c r="G10" s="1" t="b">
        <v>0</v>
      </c>
      <c r="H10" s="1">
        <v>6</v>
      </c>
      <c r="I10" s="1">
        <v>1</v>
      </c>
      <c r="J10" s="1">
        <v>0.24</v>
      </c>
      <c r="K10" t="str">
        <f t="shared" si="0"/>
        <v>Weekend</v>
      </c>
      <c r="L10" t="str">
        <f t="shared" si="1"/>
        <v>Morning</v>
      </c>
      <c r="M10" t="str">
        <f t="shared" si="2"/>
        <v>Clear</v>
      </c>
      <c r="N10">
        <f>IFERROR(VLOOKUP(A10,Dataset2!A:Z,8,FALSE),"")</f>
        <v>14</v>
      </c>
    </row>
    <row r="11" spans="1:14" x14ac:dyDescent="0.25">
      <c r="A11" s="1">
        <v>10</v>
      </c>
      <c r="B11" s="2">
        <v>40544</v>
      </c>
      <c r="C11" s="1">
        <v>1</v>
      </c>
      <c r="D11" s="1">
        <v>0</v>
      </c>
      <c r="E11" s="1">
        <v>1</v>
      </c>
      <c r="F11" s="1">
        <v>9</v>
      </c>
      <c r="G11" s="1" t="b">
        <v>0</v>
      </c>
      <c r="H11" s="1">
        <v>6</v>
      </c>
      <c r="I11" s="1">
        <v>1</v>
      </c>
      <c r="J11" s="1">
        <v>0.32</v>
      </c>
      <c r="K11" t="str">
        <f t="shared" si="0"/>
        <v>Weekend</v>
      </c>
      <c r="L11" t="str">
        <f t="shared" si="1"/>
        <v>Morning</v>
      </c>
      <c r="M11" t="str">
        <f t="shared" si="2"/>
        <v>Clear</v>
      </c>
      <c r="N11">
        <f>IFERROR(VLOOKUP(A11,Dataset2!A:Z,8,FALSE),"")</f>
        <v>36</v>
      </c>
    </row>
    <row r="12" spans="1:14" x14ac:dyDescent="0.25">
      <c r="A12" s="1">
        <v>11</v>
      </c>
      <c r="B12" s="2">
        <v>40544</v>
      </c>
      <c r="C12" s="1">
        <v>1</v>
      </c>
      <c r="D12" s="1">
        <v>0</v>
      </c>
      <c r="E12" s="1">
        <v>1</v>
      </c>
      <c r="F12" s="1">
        <v>10</v>
      </c>
      <c r="G12" s="1" t="b">
        <v>0</v>
      </c>
      <c r="H12" s="1">
        <v>6</v>
      </c>
      <c r="I12" s="1">
        <v>1</v>
      </c>
      <c r="J12" s="1">
        <v>0.38</v>
      </c>
      <c r="K12" t="str">
        <f t="shared" si="0"/>
        <v>Weekend</v>
      </c>
      <c r="L12" t="str">
        <f t="shared" si="1"/>
        <v>Morning</v>
      </c>
      <c r="M12" t="str">
        <f t="shared" si="2"/>
        <v>Clear</v>
      </c>
      <c r="N12">
        <f>IFERROR(VLOOKUP(A12,Dataset2!A:Z,8,FALSE),"")</f>
        <v>56</v>
      </c>
    </row>
    <row r="13" spans="1:14" x14ac:dyDescent="0.25">
      <c r="A13" s="1">
        <v>12</v>
      </c>
      <c r="B13" s="2">
        <v>40544</v>
      </c>
      <c r="C13" s="1">
        <v>1</v>
      </c>
      <c r="D13" s="1">
        <v>0</v>
      </c>
      <c r="E13" s="1">
        <v>1</v>
      </c>
      <c r="F13" s="1">
        <v>11</v>
      </c>
      <c r="G13" s="1" t="b">
        <v>0</v>
      </c>
      <c r="H13" s="1">
        <v>6</v>
      </c>
      <c r="I13" s="1">
        <v>1</v>
      </c>
      <c r="J13" s="1">
        <v>0.36</v>
      </c>
      <c r="K13" t="str">
        <f t="shared" si="0"/>
        <v>Weekend</v>
      </c>
      <c r="L13" t="str">
        <f t="shared" si="1"/>
        <v>Morning</v>
      </c>
      <c r="M13" t="str">
        <f t="shared" si="2"/>
        <v>Clear</v>
      </c>
      <c r="N13">
        <f>IFERROR(VLOOKUP(A13,Dataset2!A:Z,8,FALSE),"")</f>
        <v>84</v>
      </c>
    </row>
    <row r="14" spans="1:14" x14ac:dyDescent="0.25">
      <c r="A14" s="1">
        <v>13</v>
      </c>
      <c r="B14" s="2">
        <v>40544</v>
      </c>
      <c r="C14" s="1">
        <v>1</v>
      </c>
      <c r="D14" s="1">
        <v>0</v>
      </c>
      <c r="E14" s="1">
        <v>1</v>
      </c>
      <c r="F14" s="1">
        <v>12</v>
      </c>
      <c r="G14" s="1" t="b">
        <v>0</v>
      </c>
      <c r="H14" s="1">
        <v>6</v>
      </c>
      <c r="I14" s="1">
        <v>1</v>
      </c>
      <c r="J14" s="1">
        <v>0.42</v>
      </c>
      <c r="K14" t="str">
        <f t="shared" si="0"/>
        <v>Weekend</v>
      </c>
      <c r="L14" t="str">
        <f t="shared" si="1"/>
        <v>Afternoon</v>
      </c>
      <c r="M14" t="str">
        <f t="shared" si="2"/>
        <v>Clear</v>
      </c>
      <c r="N14">
        <f>IFERROR(VLOOKUP(A14,Dataset2!A:Z,8,FALSE),"")</f>
        <v>94</v>
      </c>
    </row>
    <row r="15" spans="1:14" x14ac:dyDescent="0.25">
      <c r="A15" s="1">
        <v>14</v>
      </c>
      <c r="B15" s="2">
        <v>40544</v>
      </c>
      <c r="C15" s="1">
        <v>1</v>
      </c>
      <c r="D15" s="1">
        <v>0</v>
      </c>
      <c r="E15" s="1">
        <v>1</v>
      </c>
      <c r="F15" s="1">
        <v>13</v>
      </c>
      <c r="G15" s="1" t="b">
        <v>0</v>
      </c>
      <c r="H15" s="1">
        <v>6</v>
      </c>
      <c r="I15" s="1">
        <v>2</v>
      </c>
      <c r="J15" s="1">
        <v>0.46</v>
      </c>
      <c r="K15" t="str">
        <f t="shared" si="0"/>
        <v>Weekend</v>
      </c>
      <c r="L15" t="str">
        <f t="shared" si="1"/>
        <v>Afternoon</v>
      </c>
      <c r="M15" t="str">
        <f t="shared" si="2"/>
        <v>cloudy</v>
      </c>
      <c r="N15">
        <f>IFERROR(VLOOKUP(A15,Dataset2!A:Z,8,FALSE),"")</f>
        <v>106</v>
      </c>
    </row>
    <row r="16" spans="1:14" x14ac:dyDescent="0.25">
      <c r="A16" s="1">
        <v>15</v>
      </c>
      <c r="B16" s="2">
        <v>40544</v>
      </c>
      <c r="C16" s="1">
        <v>1</v>
      </c>
      <c r="D16" s="1">
        <v>0</v>
      </c>
      <c r="E16" s="1">
        <v>1</v>
      </c>
      <c r="F16" s="1">
        <v>14</v>
      </c>
      <c r="G16" s="1" t="b">
        <v>0</v>
      </c>
      <c r="H16" s="1">
        <v>6</v>
      </c>
      <c r="I16" s="1">
        <v>2</v>
      </c>
      <c r="J16" s="1">
        <v>0.46</v>
      </c>
      <c r="K16" t="str">
        <f t="shared" si="0"/>
        <v>Weekend</v>
      </c>
      <c r="L16" t="str">
        <f t="shared" si="1"/>
        <v>Afternoon</v>
      </c>
      <c r="M16" t="str">
        <f t="shared" si="2"/>
        <v>cloudy</v>
      </c>
      <c r="N16">
        <f>IFERROR(VLOOKUP(A16,Dataset2!A:Z,8,FALSE),"")</f>
        <v>110</v>
      </c>
    </row>
    <row r="17" spans="1:14" x14ac:dyDescent="0.25">
      <c r="A17" s="1">
        <v>16</v>
      </c>
      <c r="B17" s="2">
        <v>40544</v>
      </c>
      <c r="C17" s="1">
        <v>1</v>
      </c>
      <c r="D17" s="1">
        <v>0</v>
      </c>
      <c r="E17" s="1">
        <v>1</v>
      </c>
      <c r="F17" s="1">
        <v>15</v>
      </c>
      <c r="G17" s="1" t="b">
        <v>0</v>
      </c>
      <c r="H17" s="1">
        <v>6</v>
      </c>
      <c r="I17" s="1">
        <v>2</v>
      </c>
      <c r="J17" s="1">
        <v>0.44</v>
      </c>
      <c r="K17" t="str">
        <f t="shared" si="0"/>
        <v>Weekend</v>
      </c>
      <c r="L17" t="str">
        <f t="shared" si="1"/>
        <v>Afternoon</v>
      </c>
      <c r="M17" t="str">
        <f t="shared" si="2"/>
        <v>cloudy</v>
      </c>
      <c r="N17">
        <f>IFERROR(VLOOKUP(A17,Dataset2!A:Z,8,FALSE),"")</f>
        <v>93</v>
      </c>
    </row>
    <row r="18" spans="1:14" x14ac:dyDescent="0.25">
      <c r="A18" s="1">
        <v>17</v>
      </c>
      <c r="B18" s="2">
        <v>40544</v>
      </c>
      <c r="C18" s="1">
        <v>1</v>
      </c>
      <c r="D18" s="1">
        <v>0</v>
      </c>
      <c r="E18" s="1">
        <v>1</v>
      </c>
      <c r="F18" s="1">
        <v>16</v>
      </c>
      <c r="G18" s="1" t="b">
        <v>0</v>
      </c>
      <c r="H18" s="1">
        <v>6</v>
      </c>
      <c r="I18" s="1">
        <v>2</v>
      </c>
      <c r="J18" s="1">
        <v>0.42</v>
      </c>
      <c r="K18" t="str">
        <f t="shared" si="0"/>
        <v>Weekend</v>
      </c>
      <c r="L18" t="str">
        <f t="shared" si="1"/>
        <v>Afternoon</v>
      </c>
      <c r="M18" t="str">
        <f t="shared" si="2"/>
        <v>cloudy</v>
      </c>
      <c r="N18">
        <f>IFERROR(VLOOKUP(A18,Dataset2!A:Z,8,FALSE),"")</f>
        <v>67</v>
      </c>
    </row>
    <row r="19" spans="1:14" x14ac:dyDescent="0.25">
      <c r="A19" s="1">
        <v>18</v>
      </c>
      <c r="B19" s="2">
        <v>40544</v>
      </c>
      <c r="C19" s="1">
        <v>1</v>
      </c>
      <c r="D19" s="1">
        <v>0</v>
      </c>
      <c r="E19" s="1">
        <v>1</v>
      </c>
      <c r="F19" s="1">
        <v>17</v>
      </c>
      <c r="G19" s="1" t="b">
        <v>0</v>
      </c>
      <c r="H19" s="1">
        <v>6</v>
      </c>
      <c r="I19" s="1">
        <v>2</v>
      </c>
      <c r="J19" s="1">
        <v>0.44</v>
      </c>
      <c r="K19" t="str">
        <f t="shared" si="0"/>
        <v>Weekend</v>
      </c>
      <c r="L19" t="str">
        <f t="shared" si="1"/>
        <v>Afternoon</v>
      </c>
      <c r="M19" t="str">
        <f t="shared" si="2"/>
        <v>cloudy</v>
      </c>
      <c r="N19">
        <f>IFERROR(VLOOKUP(A19,Dataset2!A:Z,8,FALSE),"")</f>
        <v>35</v>
      </c>
    </row>
    <row r="20" spans="1:14" x14ac:dyDescent="0.25">
      <c r="A20" s="1">
        <v>19</v>
      </c>
      <c r="B20" s="2">
        <v>40544</v>
      </c>
      <c r="C20" s="1">
        <v>1</v>
      </c>
      <c r="D20" s="1">
        <v>0</v>
      </c>
      <c r="E20" s="1">
        <v>1</v>
      </c>
      <c r="F20" s="1">
        <v>18</v>
      </c>
      <c r="G20" s="1" t="b">
        <v>0</v>
      </c>
      <c r="H20" s="1">
        <v>6</v>
      </c>
      <c r="I20" s="1">
        <v>3</v>
      </c>
      <c r="J20" s="1">
        <v>0.42</v>
      </c>
      <c r="K20" t="str">
        <f t="shared" si="0"/>
        <v>Weekend</v>
      </c>
      <c r="L20" t="str">
        <f t="shared" si="1"/>
        <v>Evening</v>
      </c>
      <c r="M20" t="str">
        <f t="shared" si="2"/>
        <v>Rain</v>
      </c>
      <c r="N20">
        <f>IFERROR(VLOOKUP(A20,Dataset2!A:Z,8,FALSE),"")</f>
        <v>37</v>
      </c>
    </row>
    <row r="21" spans="1:14" x14ac:dyDescent="0.25">
      <c r="A21" s="1">
        <v>20</v>
      </c>
      <c r="B21" s="2">
        <v>40544</v>
      </c>
      <c r="C21" s="1">
        <v>1</v>
      </c>
      <c r="D21" s="1">
        <v>0</v>
      </c>
      <c r="E21" s="1">
        <v>1</v>
      </c>
      <c r="F21" s="1">
        <v>19</v>
      </c>
      <c r="G21" s="1" t="b">
        <v>0</v>
      </c>
      <c r="H21" s="1">
        <v>6</v>
      </c>
      <c r="I21" s="1">
        <v>3</v>
      </c>
      <c r="J21" s="1">
        <v>0.42</v>
      </c>
      <c r="K21" t="str">
        <f t="shared" si="0"/>
        <v>Weekend</v>
      </c>
      <c r="L21" t="str">
        <f t="shared" si="1"/>
        <v>Evening</v>
      </c>
      <c r="M21" t="str">
        <f t="shared" si="2"/>
        <v>Rain</v>
      </c>
      <c r="N21">
        <f>IFERROR(VLOOKUP(A21,Dataset2!A:Z,8,FALSE),"")</f>
        <v>36</v>
      </c>
    </row>
    <row r="22" spans="1:14" x14ac:dyDescent="0.25">
      <c r="A22" s="1">
        <v>21</v>
      </c>
      <c r="B22" s="2">
        <v>40544</v>
      </c>
      <c r="C22" s="1">
        <v>1</v>
      </c>
      <c r="D22" s="1">
        <v>0</v>
      </c>
      <c r="E22" s="1">
        <v>1</v>
      </c>
      <c r="F22" s="1">
        <v>20</v>
      </c>
      <c r="G22" s="1" t="b">
        <v>0</v>
      </c>
      <c r="H22" s="1">
        <v>6</v>
      </c>
      <c r="I22" s="1">
        <v>2</v>
      </c>
      <c r="J22" s="1">
        <v>0.4</v>
      </c>
      <c r="K22" t="str">
        <f t="shared" si="0"/>
        <v>Weekend</v>
      </c>
      <c r="L22" t="str">
        <f t="shared" si="1"/>
        <v>Evening</v>
      </c>
      <c r="M22" t="str">
        <f t="shared" si="2"/>
        <v>cloudy</v>
      </c>
      <c r="N22">
        <f>IFERROR(VLOOKUP(A22,Dataset2!A:Z,8,FALSE),"")</f>
        <v>34</v>
      </c>
    </row>
    <row r="23" spans="1:14" x14ac:dyDescent="0.25">
      <c r="A23" s="1">
        <v>22</v>
      </c>
      <c r="B23" s="2">
        <v>40544</v>
      </c>
      <c r="C23" s="1">
        <v>1</v>
      </c>
      <c r="D23" s="1">
        <v>0</v>
      </c>
      <c r="E23" s="1">
        <v>1</v>
      </c>
      <c r="F23" s="1">
        <v>21</v>
      </c>
      <c r="G23" s="1" t="b">
        <v>0</v>
      </c>
      <c r="H23" s="1">
        <v>6</v>
      </c>
      <c r="I23" s="1">
        <v>2</v>
      </c>
      <c r="J23" s="1">
        <v>0.4</v>
      </c>
      <c r="K23" t="str">
        <f t="shared" si="0"/>
        <v>Weekend</v>
      </c>
      <c r="L23" t="str">
        <f t="shared" si="1"/>
        <v>Evening</v>
      </c>
      <c r="M23" t="str">
        <f t="shared" si="2"/>
        <v>cloudy</v>
      </c>
      <c r="N23">
        <f>IFERROR(VLOOKUP(A23,Dataset2!A:Z,8,FALSE),"")</f>
        <v>28</v>
      </c>
    </row>
    <row r="24" spans="1:14" x14ac:dyDescent="0.25">
      <c r="A24" s="1">
        <v>23</v>
      </c>
      <c r="B24" s="2">
        <v>40544</v>
      </c>
      <c r="C24" s="1">
        <v>1</v>
      </c>
      <c r="D24" s="1">
        <v>0</v>
      </c>
      <c r="E24" s="1">
        <v>1</v>
      </c>
      <c r="F24" s="1">
        <v>22</v>
      </c>
      <c r="G24" s="1" t="b">
        <v>0</v>
      </c>
      <c r="H24" s="1">
        <v>6</v>
      </c>
      <c r="I24" s="1">
        <v>2</v>
      </c>
      <c r="J24" s="1">
        <v>0.4</v>
      </c>
      <c r="K24" t="str">
        <f t="shared" si="0"/>
        <v>Weekend</v>
      </c>
      <c r="L24" t="str">
        <f t="shared" si="1"/>
        <v>Evening</v>
      </c>
      <c r="M24" t="str">
        <f t="shared" si="2"/>
        <v>cloudy</v>
      </c>
      <c r="N24">
        <f>IFERROR(VLOOKUP(A24,Dataset2!A:Z,8,FALSE),"")</f>
        <v>39</v>
      </c>
    </row>
    <row r="25" spans="1:14" x14ac:dyDescent="0.25">
      <c r="A25" s="1">
        <v>24</v>
      </c>
      <c r="B25" s="2">
        <v>40544</v>
      </c>
      <c r="C25" s="1">
        <v>1</v>
      </c>
      <c r="D25" s="1">
        <v>0</v>
      </c>
      <c r="E25" s="1">
        <v>1</v>
      </c>
      <c r="F25" s="1">
        <v>23</v>
      </c>
      <c r="G25" s="1" t="b">
        <v>0</v>
      </c>
      <c r="H25" s="1">
        <v>6</v>
      </c>
      <c r="I25" s="1">
        <v>2</v>
      </c>
      <c r="J25" s="1">
        <v>0.46</v>
      </c>
      <c r="K25" t="str">
        <f t="shared" si="0"/>
        <v>Weekend</v>
      </c>
      <c r="L25" t="str">
        <f t="shared" si="1"/>
        <v>Evening</v>
      </c>
      <c r="M25" t="str">
        <f t="shared" si="2"/>
        <v>cloudy</v>
      </c>
      <c r="N25">
        <f>IFERROR(VLOOKUP(A25,Dataset2!A:Z,8,FALSE),"")</f>
        <v>17</v>
      </c>
    </row>
    <row r="26" spans="1:14" x14ac:dyDescent="0.25">
      <c r="A26" s="1">
        <v>25</v>
      </c>
      <c r="B26" s="2">
        <v>40545</v>
      </c>
      <c r="C26" s="1">
        <v>1</v>
      </c>
      <c r="D26" s="1">
        <v>0</v>
      </c>
      <c r="E26" s="1">
        <v>1</v>
      </c>
      <c r="F26" s="1">
        <v>0</v>
      </c>
      <c r="G26" s="1" t="b">
        <v>0</v>
      </c>
      <c r="H26" s="1">
        <v>0</v>
      </c>
      <c r="I26" s="1">
        <v>2</v>
      </c>
      <c r="J26" s="1">
        <v>0.46</v>
      </c>
      <c r="K26" t="str">
        <f t="shared" si="0"/>
        <v>Weekend</v>
      </c>
      <c r="L26" t="str">
        <f t="shared" si="1"/>
        <v>Morning</v>
      </c>
      <c r="M26" t="str">
        <f t="shared" si="2"/>
        <v>cloudy</v>
      </c>
      <c r="N26">
        <f>IFERROR(VLOOKUP(A26,Dataset2!A:Z,8,FALSE),"")</f>
        <v>17</v>
      </c>
    </row>
    <row r="27" spans="1:14" x14ac:dyDescent="0.25">
      <c r="A27" s="1">
        <v>26</v>
      </c>
      <c r="B27" s="2">
        <v>40545</v>
      </c>
      <c r="C27" s="1">
        <v>1</v>
      </c>
      <c r="D27" s="1">
        <v>0</v>
      </c>
      <c r="E27" s="1">
        <v>1</v>
      </c>
      <c r="F27" s="1">
        <v>1</v>
      </c>
      <c r="G27" s="1" t="b">
        <v>0</v>
      </c>
      <c r="H27" s="1">
        <v>0</v>
      </c>
      <c r="I27" s="1">
        <v>2</v>
      </c>
      <c r="J27" s="1">
        <v>0.44</v>
      </c>
      <c r="K27" t="str">
        <f t="shared" si="0"/>
        <v>Weekend</v>
      </c>
      <c r="L27" t="str">
        <f t="shared" si="1"/>
        <v>Morning</v>
      </c>
      <c r="M27" t="str">
        <f t="shared" si="2"/>
        <v>cloudy</v>
      </c>
      <c r="N27">
        <f>IFERROR(VLOOKUP(A27,Dataset2!A:Z,8,FALSE),"")</f>
        <v>9</v>
      </c>
    </row>
    <row r="28" spans="1:14" x14ac:dyDescent="0.25">
      <c r="A28" s="1">
        <v>27</v>
      </c>
      <c r="B28" s="2">
        <v>40545</v>
      </c>
      <c r="C28" s="1">
        <v>1</v>
      </c>
      <c r="D28" s="1">
        <v>0</v>
      </c>
      <c r="E28" s="1">
        <v>1</v>
      </c>
      <c r="F28" s="1">
        <v>2</v>
      </c>
      <c r="G28" s="1" t="b">
        <v>0</v>
      </c>
      <c r="H28" s="1">
        <v>0</v>
      </c>
      <c r="I28" s="1">
        <v>2</v>
      </c>
      <c r="J28" s="1">
        <v>0.42</v>
      </c>
      <c r="K28" t="str">
        <f t="shared" si="0"/>
        <v>Weekend</v>
      </c>
      <c r="L28" t="str">
        <f t="shared" si="1"/>
        <v>Morning</v>
      </c>
      <c r="M28" t="str">
        <f t="shared" si="2"/>
        <v>cloudy</v>
      </c>
      <c r="N28">
        <f>IFERROR(VLOOKUP(A28,Dataset2!A:Z,8,FALSE),"")</f>
        <v>6</v>
      </c>
    </row>
    <row r="29" spans="1:14" x14ac:dyDescent="0.25">
      <c r="A29" s="1">
        <v>28</v>
      </c>
      <c r="B29" s="2">
        <v>40545</v>
      </c>
      <c r="C29" s="1">
        <v>1</v>
      </c>
      <c r="D29" s="1">
        <v>0</v>
      </c>
      <c r="E29" s="1">
        <v>1</v>
      </c>
      <c r="F29" s="1">
        <v>3</v>
      </c>
      <c r="G29" s="1" t="b">
        <v>0</v>
      </c>
      <c r="H29" s="1">
        <v>0</v>
      </c>
      <c r="I29" s="1">
        <v>2</v>
      </c>
      <c r="J29" s="1">
        <v>0.46</v>
      </c>
      <c r="K29" t="str">
        <f t="shared" si="0"/>
        <v>Weekend</v>
      </c>
      <c r="L29" t="str">
        <f t="shared" si="1"/>
        <v>Morning</v>
      </c>
      <c r="M29" t="str">
        <f t="shared" si="2"/>
        <v>cloudy</v>
      </c>
      <c r="N29">
        <f>IFERROR(VLOOKUP(A29,Dataset2!A:Z,8,FALSE),"")</f>
        <v>3</v>
      </c>
    </row>
    <row r="30" spans="1:14" x14ac:dyDescent="0.25">
      <c r="A30" s="1">
        <v>29</v>
      </c>
      <c r="B30" s="2">
        <v>40545</v>
      </c>
      <c r="C30" s="1">
        <v>1</v>
      </c>
      <c r="D30" s="1">
        <v>0</v>
      </c>
      <c r="E30" s="1">
        <v>1</v>
      </c>
      <c r="F30" s="1">
        <v>4</v>
      </c>
      <c r="G30" s="1" t="b">
        <v>0</v>
      </c>
      <c r="H30" s="1">
        <v>0</v>
      </c>
      <c r="I30" s="1">
        <v>2</v>
      </c>
      <c r="J30" s="1">
        <v>0.46</v>
      </c>
      <c r="K30" t="str">
        <f t="shared" si="0"/>
        <v>Weekend</v>
      </c>
      <c r="L30" t="str">
        <f t="shared" si="1"/>
        <v>Morning</v>
      </c>
      <c r="M30" t="str">
        <f t="shared" si="2"/>
        <v>cloudy</v>
      </c>
      <c r="N30">
        <f>IFERROR(VLOOKUP(A30,Dataset2!A:Z,8,FALSE),"")</f>
        <v>2</v>
      </c>
    </row>
    <row r="31" spans="1:14" x14ac:dyDescent="0.25">
      <c r="A31" s="1">
        <v>30</v>
      </c>
      <c r="B31" s="2">
        <v>40545</v>
      </c>
      <c r="C31" s="1">
        <v>1</v>
      </c>
      <c r="D31" s="1">
        <v>0</v>
      </c>
      <c r="E31" s="1">
        <v>1</v>
      </c>
      <c r="F31" s="1">
        <v>6</v>
      </c>
      <c r="G31" s="1" t="b">
        <v>0</v>
      </c>
      <c r="H31" s="1">
        <v>0</v>
      </c>
      <c r="I31" s="1">
        <v>3</v>
      </c>
      <c r="J31" s="1">
        <v>0.42</v>
      </c>
      <c r="K31" t="str">
        <f t="shared" si="0"/>
        <v>Weekend</v>
      </c>
      <c r="L31" t="str">
        <f t="shared" si="1"/>
        <v>Morning</v>
      </c>
      <c r="M31" t="str">
        <f t="shared" si="2"/>
        <v>Rain</v>
      </c>
      <c r="N31">
        <f>IFERROR(VLOOKUP(A31,Dataset2!A:Z,8,FALSE),"")</f>
        <v>1</v>
      </c>
    </row>
    <row r="32" spans="1:14" x14ac:dyDescent="0.25">
      <c r="A32" s="1">
        <v>31</v>
      </c>
      <c r="B32" s="2">
        <v>40545</v>
      </c>
      <c r="C32" s="1">
        <v>1</v>
      </c>
      <c r="D32" s="1">
        <v>0</v>
      </c>
      <c r="E32" s="1">
        <v>1</v>
      </c>
      <c r="F32" s="1">
        <v>7</v>
      </c>
      <c r="G32" s="1" t="b">
        <v>0</v>
      </c>
      <c r="H32" s="1">
        <v>0</v>
      </c>
      <c r="I32" s="1">
        <v>2</v>
      </c>
      <c r="J32" s="1">
        <v>0.4</v>
      </c>
      <c r="K32" t="str">
        <f t="shared" si="0"/>
        <v>Weekend</v>
      </c>
      <c r="L32" t="str">
        <f t="shared" si="1"/>
        <v>Morning</v>
      </c>
      <c r="M32" t="str">
        <f t="shared" si="2"/>
        <v>cloudy</v>
      </c>
      <c r="N32">
        <f>IFERROR(VLOOKUP(A32,Dataset2!A:Z,8,FALSE),"")</f>
        <v>8</v>
      </c>
    </row>
    <row r="33" spans="1:14" x14ac:dyDescent="0.25">
      <c r="A33" s="1">
        <v>32</v>
      </c>
      <c r="B33" s="2">
        <v>40545</v>
      </c>
      <c r="C33" s="1">
        <v>1</v>
      </c>
      <c r="D33" s="1">
        <v>0</v>
      </c>
      <c r="E33" s="1">
        <v>1</v>
      </c>
      <c r="F33" s="1">
        <v>8</v>
      </c>
      <c r="G33" s="1" t="b">
        <v>0</v>
      </c>
      <c r="H33" s="1">
        <v>0</v>
      </c>
      <c r="I33" s="1">
        <v>3</v>
      </c>
      <c r="J33" s="1">
        <v>0.4</v>
      </c>
      <c r="K33" t="str">
        <f t="shared" si="0"/>
        <v>Weekend</v>
      </c>
      <c r="L33" t="str">
        <f t="shared" si="1"/>
        <v>Morning</v>
      </c>
      <c r="M33" t="str">
        <f t="shared" si="2"/>
        <v>Rain</v>
      </c>
      <c r="N33">
        <f>IFERROR(VLOOKUP(A33,Dataset2!A:Z,8,FALSE),"")</f>
        <v>20</v>
      </c>
    </row>
    <row r="34" spans="1:14" x14ac:dyDescent="0.25">
      <c r="A34" s="1">
        <v>33</v>
      </c>
      <c r="B34" s="2">
        <v>40545</v>
      </c>
      <c r="C34" s="1">
        <v>1</v>
      </c>
      <c r="D34" s="1">
        <v>0</v>
      </c>
      <c r="E34" s="1">
        <v>1</v>
      </c>
      <c r="F34" s="1">
        <v>9</v>
      </c>
      <c r="G34" s="1" t="b">
        <v>0</v>
      </c>
      <c r="H34" s="1">
        <v>0</v>
      </c>
      <c r="I34" s="1">
        <v>2</v>
      </c>
      <c r="J34" s="1">
        <v>0.38</v>
      </c>
      <c r="K34" t="str">
        <f t="shared" si="0"/>
        <v>Weekend</v>
      </c>
      <c r="L34" t="str">
        <f t="shared" si="1"/>
        <v>Morning</v>
      </c>
      <c r="M34" t="str">
        <f t="shared" si="2"/>
        <v>cloudy</v>
      </c>
      <c r="N34">
        <f>IFERROR(VLOOKUP(A34,Dataset2!A:Z,8,FALSE),"")</f>
        <v>53</v>
      </c>
    </row>
    <row r="35" spans="1:14" x14ac:dyDescent="0.25">
      <c r="A35" s="1">
        <v>34</v>
      </c>
      <c r="B35" s="2">
        <v>40545</v>
      </c>
      <c r="C35" s="1">
        <v>1</v>
      </c>
      <c r="D35" s="1">
        <v>0</v>
      </c>
      <c r="E35" s="1">
        <v>1</v>
      </c>
      <c r="F35" s="1">
        <v>10</v>
      </c>
      <c r="G35" s="1" t="b">
        <v>0</v>
      </c>
      <c r="H35" s="1">
        <v>0</v>
      </c>
      <c r="I35" s="1">
        <v>2</v>
      </c>
      <c r="J35" s="1">
        <v>0.36</v>
      </c>
      <c r="K35" t="str">
        <f t="shared" si="0"/>
        <v>Weekend</v>
      </c>
      <c r="L35" t="str">
        <f t="shared" si="1"/>
        <v>Morning</v>
      </c>
      <c r="M35" t="str">
        <f t="shared" si="2"/>
        <v>cloudy</v>
      </c>
      <c r="N35">
        <f>IFERROR(VLOOKUP(A35,Dataset2!A:Z,8,FALSE),"")</f>
        <v>70</v>
      </c>
    </row>
    <row r="36" spans="1:14" x14ac:dyDescent="0.25">
      <c r="A36" s="1">
        <v>35</v>
      </c>
      <c r="B36" s="2">
        <v>40545</v>
      </c>
      <c r="C36" s="1">
        <v>1</v>
      </c>
      <c r="D36" s="1">
        <v>0</v>
      </c>
      <c r="E36" s="1">
        <v>1</v>
      </c>
      <c r="F36" s="1">
        <v>11</v>
      </c>
      <c r="G36" s="1" t="b">
        <v>0</v>
      </c>
      <c r="H36" s="1">
        <v>0</v>
      </c>
      <c r="I36" s="1">
        <v>2</v>
      </c>
      <c r="J36" s="1">
        <v>0.36</v>
      </c>
      <c r="K36" t="str">
        <f t="shared" si="0"/>
        <v>Weekend</v>
      </c>
      <c r="L36" t="str">
        <f t="shared" si="1"/>
        <v>Morning</v>
      </c>
      <c r="M36" t="str">
        <f t="shared" si="2"/>
        <v>cloudy</v>
      </c>
      <c r="N36">
        <f>IFERROR(VLOOKUP(A36,Dataset2!A:Z,8,FALSE),"")</f>
        <v>93</v>
      </c>
    </row>
    <row r="37" spans="1:14" x14ac:dyDescent="0.25">
      <c r="A37" s="1">
        <v>36</v>
      </c>
      <c r="B37" s="2">
        <v>40545</v>
      </c>
      <c r="C37" s="1">
        <v>1</v>
      </c>
      <c r="D37" s="1">
        <v>0</v>
      </c>
      <c r="E37" s="1">
        <v>1</v>
      </c>
      <c r="F37" s="1">
        <v>12</v>
      </c>
      <c r="G37" s="1" t="b">
        <v>0</v>
      </c>
      <c r="H37" s="1">
        <v>0</v>
      </c>
      <c r="I37" s="1">
        <v>2</v>
      </c>
      <c r="J37" s="1">
        <v>0.36</v>
      </c>
      <c r="K37" t="str">
        <f t="shared" si="0"/>
        <v>Weekend</v>
      </c>
      <c r="L37" t="str">
        <f t="shared" si="1"/>
        <v>Afternoon</v>
      </c>
      <c r="M37" t="str">
        <f t="shared" si="2"/>
        <v>cloudy</v>
      </c>
      <c r="N37">
        <f>IFERROR(VLOOKUP(A37,Dataset2!A:Z,8,FALSE),"")</f>
        <v>75</v>
      </c>
    </row>
    <row r="38" spans="1:14" x14ac:dyDescent="0.25">
      <c r="A38" s="1">
        <v>37</v>
      </c>
      <c r="B38" s="2">
        <v>40545</v>
      </c>
      <c r="C38" s="1">
        <v>1</v>
      </c>
      <c r="D38" s="1">
        <v>0</v>
      </c>
      <c r="E38" s="1">
        <v>1</v>
      </c>
      <c r="F38" s="1">
        <v>13</v>
      </c>
      <c r="G38" s="1" t="b">
        <v>0</v>
      </c>
      <c r="H38" s="1">
        <v>0</v>
      </c>
      <c r="I38" s="1">
        <v>2</v>
      </c>
      <c r="J38" s="1">
        <v>0.36</v>
      </c>
      <c r="K38" t="str">
        <f t="shared" si="0"/>
        <v>Weekend</v>
      </c>
      <c r="L38" t="str">
        <f t="shared" si="1"/>
        <v>Afternoon</v>
      </c>
      <c r="M38" t="str">
        <f t="shared" si="2"/>
        <v>cloudy</v>
      </c>
      <c r="N38">
        <f>IFERROR(VLOOKUP(A38,Dataset2!A:Z,8,FALSE),"")</f>
        <v>59</v>
      </c>
    </row>
    <row r="39" spans="1:14" x14ac:dyDescent="0.25">
      <c r="A39" s="1">
        <v>38</v>
      </c>
      <c r="B39" s="2">
        <v>40545</v>
      </c>
      <c r="C39" s="1">
        <v>1</v>
      </c>
      <c r="D39" s="1">
        <v>0</v>
      </c>
      <c r="E39" s="1">
        <v>1</v>
      </c>
      <c r="F39" s="1">
        <v>14</v>
      </c>
      <c r="G39" s="1" t="b">
        <v>0</v>
      </c>
      <c r="H39" s="1">
        <v>0</v>
      </c>
      <c r="I39" s="1">
        <v>3</v>
      </c>
      <c r="J39" s="1">
        <v>0.36</v>
      </c>
      <c r="K39" t="str">
        <f t="shared" si="0"/>
        <v>Weekend</v>
      </c>
      <c r="L39" t="str">
        <f t="shared" si="1"/>
        <v>Afternoon</v>
      </c>
      <c r="M39" t="str">
        <f t="shared" si="2"/>
        <v>Rain</v>
      </c>
      <c r="N39">
        <f>IFERROR(VLOOKUP(A39,Dataset2!A:Z,8,FALSE),"")</f>
        <v>74</v>
      </c>
    </row>
    <row r="40" spans="1:14" x14ac:dyDescent="0.25">
      <c r="A40" s="1">
        <v>39</v>
      </c>
      <c r="B40" s="2">
        <v>40545</v>
      </c>
      <c r="C40" s="1">
        <v>1</v>
      </c>
      <c r="D40" s="1">
        <v>0</v>
      </c>
      <c r="E40" s="1">
        <v>1</v>
      </c>
      <c r="F40" s="1">
        <v>15</v>
      </c>
      <c r="G40" s="1" t="b">
        <v>0</v>
      </c>
      <c r="H40" s="1">
        <v>0</v>
      </c>
      <c r="I40" s="1">
        <v>3</v>
      </c>
      <c r="J40" s="1">
        <v>0.34</v>
      </c>
      <c r="K40" t="str">
        <f t="shared" si="0"/>
        <v>Weekend</v>
      </c>
      <c r="L40" t="str">
        <f t="shared" si="1"/>
        <v>Afternoon</v>
      </c>
      <c r="M40" t="str">
        <f t="shared" si="2"/>
        <v>Rain</v>
      </c>
      <c r="N40">
        <f>IFERROR(VLOOKUP(A40,Dataset2!A:Z,8,FALSE),"")</f>
        <v>76</v>
      </c>
    </row>
    <row r="41" spans="1:14" x14ac:dyDescent="0.25">
      <c r="A41" s="1">
        <v>40</v>
      </c>
      <c r="B41" s="2">
        <v>40545</v>
      </c>
      <c r="C41" s="1">
        <v>1</v>
      </c>
      <c r="D41" s="1">
        <v>0</v>
      </c>
      <c r="E41" s="1">
        <v>1</v>
      </c>
      <c r="F41" s="1">
        <v>16</v>
      </c>
      <c r="G41" s="1" t="b">
        <v>0</v>
      </c>
      <c r="H41" s="1">
        <v>0</v>
      </c>
      <c r="I41" s="1">
        <v>3</v>
      </c>
      <c r="J41" s="1">
        <v>0.34</v>
      </c>
      <c r="K41" t="str">
        <f t="shared" si="0"/>
        <v>Weekend</v>
      </c>
      <c r="L41" t="str">
        <f t="shared" si="1"/>
        <v>Afternoon</v>
      </c>
      <c r="M41" t="str">
        <f t="shared" si="2"/>
        <v>Rain</v>
      </c>
      <c r="N41">
        <f>IFERROR(VLOOKUP(A41,Dataset2!A:Z,8,FALSE),"")</f>
        <v>65</v>
      </c>
    </row>
    <row r="42" spans="1:14" x14ac:dyDescent="0.25">
      <c r="A42" s="1">
        <v>41</v>
      </c>
      <c r="B42" s="2">
        <v>40545</v>
      </c>
      <c r="C42" s="1">
        <v>1</v>
      </c>
      <c r="D42" s="1">
        <v>0</v>
      </c>
      <c r="E42" s="1">
        <v>1</v>
      </c>
      <c r="F42" s="1">
        <v>17</v>
      </c>
      <c r="G42" s="1" t="b">
        <v>0</v>
      </c>
      <c r="H42" s="1">
        <v>0</v>
      </c>
      <c r="I42" s="1">
        <v>1</v>
      </c>
      <c r="J42" s="1">
        <v>0.34</v>
      </c>
      <c r="K42" t="str">
        <f t="shared" si="0"/>
        <v>Weekend</v>
      </c>
      <c r="L42" t="str">
        <f t="shared" si="1"/>
        <v>Afternoon</v>
      </c>
      <c r="M42" t="str">
        <f t="shared" si="2"/>
        <v>Clear</v>
      </c>
      <c r="N42">
        <f>IFERROR(VLOOKUP(A42,Dataset2!A:Z,8,FALSE),"")</f>
        <v>53</v>
      </c>
    </row>
    <row r="43" spans="1:14" x14ac:dyDescent="0.25">
      <c r="A43" s="1">
        <v>42</v>
      </c>
      <c r="B43" s="2">
        <v>40545</v>
      </c>
      <c r="C43" s="1">
        <v>1</v>
      </c>
      <c r="D43" s="1">
        <v>0</v>
      </c>
      <c r="E43" s="1">
        <v>1</v>
      </c>
      <c r="F43" s="1">
        <v>18</v>
      </c>
      <c r="G43" s="1" t="b">
        <v>0</v>
      </c>
      <c r="H43" s="1">
        <v>0</v>
      </c>
      <c r="I43" s="1">
        <v>2</v>
      </c>
      <c r="J43" s="1">
        <v>0.36</v>
      </c>
      <c r="K43" t="str">
        <f t="shared" si="0"/>
        <v>Weekend</v>
      </c>
      <c r="L43" t="str">
        <f t="shared" si="1"/>
        <v>Evening</v>
      </c>
      <c r="M43" t="str">
        <f t="shared" si="2"/>
        <v>cloudy</v>
      </c>
      <c r="N43">
        <f>IFERROR(VLOOKUP(A43,Dataset2!A:Z,8,FALSE),"")</f>
        <v>30</v>
      </c>
    </row>
    <row r="44" spans="1:14" x14ac:dyDescent="0.25">
      <c r="A44" s="1">
        <v>43</v>
      </c>
      <c r="B44" s="2">
        <v>40545</v>
      </c>
      <c r="C44" s="1">
        <v>1</v>
      </c>
      <c r="D44" s="1">
        <v>0</v>
      </c>
      <c r="E44" s="1">
        <v>1</v>
      </c>
      <c r="F44" s="1">
        <v>19</v>
      </c>
      <c r="G44" s="1" t="b">
        <v>0</v>
      </c>
      <c r="H44" s="1">
        <v>0</v>
      </c>
      <c r="I44" s="1">
        <v>1</v>
      </c>
      <c r="J44" s="1">
        <v>0.32</v>
      </c>
      <c r="K44" t="str">
        <f t="shared" si="0"/>
        <v>Weekend</v>
      </c>
      <c r="L44" t="str">
        <f t="shared" si="1"/>
        <v>Evening</v>
      </c>
      <c r="M44" t="str">
        <f t="shared" si="2"/>
        <v>Clear</v>
      </c>
      <c r="N44">
        <f>IFERROR(VLOOKUP(A44,Dataset2!A:Z,8,FALSE),"")</f>
        <v>22</v>
      </c>
    </row>
    <row r="45" spans="1:14" x14ac:dyDescent="0.25">
      <c r="A45" s="1">
        <v>44</v>
      </c>
      <c r="B45" s="2">
        <v>40545</v>
      </c>
      <c r="C45" s="1">
        <v>1</v>
      </c>
      <c r="D45" s="1">
        <v>0</v>
      </c>
      <c r="E45" s="1">
        <v>1</v>
      </c>
      <c r="F45" s="1">
        <v>20</v>
      </c>
      <c r="G45" s="1" t="b">
        <v>0</v>
      </c>
      <c r="H45" s="1">
        <v>0</v>
      </c>
      <c r="I45" s="1">
        <v>1</v>
      </c>
      <c r="J45" s="1">
        <v>0.3</v>
      </c>
      <c r="K45" t="str">
        <f t="shared" si="0"/>
        <v>Weekend</v>
      </c>
      <c r="L45" t="str">
        <f t="shared" si="1"/>
        <v>Evening</v>
      </c>
      <c r="M45" t="str">
        <f t="shared" si="2"/>
        <v>Clear</v>
      </c>
      <c r="N45">
        <f>IFERROR(VLOOKUP(A45,Dataset2!A:Z,8,FALSE),"")</f>
        <v>31</v>
      </c>
    </row>
    <row r="46" spans="1:14" x14ac:dyDescent="0.25">
      <c r="A46" s="1">
        <v>45</v>
      </c>
      <c r="B46" s="2">
        <v>40545</v>
      </c>
      <c r="C46" s="1">
        <v>1</v>
      </c>
      <c r="D46" s="1">
        <v>0</v>
      </c>
      <c r="E46" s="1">
        <v>1</v>
      </c>
      <c r="F46" s="1">
        <v>21</v>
      </c>
      <c r="G46" s="1" t="b">
        <v>0</v>
      </c>
      <c r="H46" s="1">
        <v>0</v>
      </c>
      <c r="I46" s="1">
        <v>1</v>
      </c>
      <c r="J46" s="1">
        <v>0.26</v>
      </c>
      <c r="K46" t="str">
        <f t="shared" si="0"/>
        <v>Weekend</v>
      </c>
      <c r="L46" t="str">
        <f t="shared" si="1"/>
        <v>Evening</v>
      </c>
      <c r="M46" t="str">
        <f t="shared" si="2"/>
        <v>Clear</v>
      </c>
      <c r="N46">
        <f>IFERROR(VLOOKUP(A46,Dataset2!A:Z,8,FALSE),"")</f>
        <v>9</v>
      </c>
    </row>
    <row r="47" spans="1:14" x14ac:dyDescent="0.25">
      <c r="A47" s="1">
        <v>46</v>
      </c>
      <c r="B47" s="2">
        <v>40545</v>
      </c>
      <c r="C47" s="1">
        <v>1</v>
      </c>
      <c r="D47" s="1">
        <v>0</v>
      </c>
      <c r="E47" s="1">
        <v>1</v>
      </c>
      <c r="F47" s="1">
        <v>22</v>
      </c>
      <c r="G47" s="1" t="b">
        <v>0</v>
      </c>
      <c r="H47" s="1">
        <v>0</v>
      </c>
      <c r="I47" s="1">
        <v>1</v>
      </c>
      <c r="J47" s="1">
        <v>0.24</v>
      </c>
      <c r="K47" t="str">
        <f t="shared" si="0"/>
        <v>Weekend</v>
      </c>
      <c r="L47" t="str">
        <f t="shared" si="1"/>
        <v>Evening</v>
      </c>
      <c r="M47" t="str">
        <f t="shared" si="2"/>
        <v>Clear</v>
      </c>
      <c r="N47">
        <f>IFERROR(VLOOKUP(A47,Dataset2!A:Z,8,FALSE),"")</f>
        <v>8</v>
      </c>
    </row>
    <row r="48" spans="1:14" x14ac:dyDescent="0.25">
      <c r="A48" s="1">
        <v>47</v>
      </c>
      <c r="B48" s="2">
        <v>40545</v>
      </c>
      <c r="C48" s="1">
        <v>1</v>
      </c>
      <c r="D48" s="1">
        <v>0</v>
      </c>
      <c r="E48" s="1">
        <v>1</v>
      </c>
      <c r="F48" s="1">
        <v>23</v>
      </c>
      <c r="G48" s="1" t="b">
        <v>0</v>
      </c>
      <c r="H48" s="1">
        <v>0</v>
      </c>
      <c r="I48" s="1">
        <v>1</v>
      </c>
      <c r="J48" s="1">
        <v>0.22</v>
      </c>
      <c r="K48" t="str">
        <f t="shared" si="0"/>
        <v>Weekend</v>
      </c>
      <c r="L48" t="str">
        <f t="shared" si="1"/>
        <v>Evening</v>
      </c>
      <c r="M48" t="str">
        <f t="shared" si="2"/>
        <v>Clear</v>
      </c>
      <c r="N48">
        <f>IFERROR(VLOOKUP(A48,Dataset2!A:Z,8,FALSE),"")</f>
        <v>5</v>
      </c>
    </row>
    <row r="49" spans="1:14" x14ac:dyDescent="0.25">
      <c r="A49" s="1">
        <v>48</v>
      </c>
      <c r="B49" s="2">
        <v>40546</v>
      </c>
      <c r="C49" s="1">
        <v>1</v>
      </c>
      <c r="D49" s="1">
        <v>0</v>
      </c>
      <c r="E49" s="1">
        <v>1</v>
      </c>
      <c r="F49" s="1">
        <v>0</v>
      </c>
      <c r="G49" s="1" t="b">
        <v>0</v>
      </c>
      <c r="H49" s="1">
        <v>1</v>
      </c>
      <c r="I49" s="1">
        <v>1</v>
      </c>
      <c r="J49" s="1">
        <v>0.22</v>
      </c>
      <c r="K49" t="str">
        <f t="shared" si="0"/>
        <v>Weekday</v>
      </c>
      <c r="L49" t="str">
        <f t="shared" si="1"/>
        <v>Morning</v>
      </c>
      <c r="M49" t="str">
        <f t="shared" si="2"/>
        <v>Clear</v>
      </c>
      <c r="N49">
        <f>IFERROR(VLOOKUP(A49,Dataset2!A:Z,8,FALSE),"")</f>
        <v>2</v>
      </c>
    </row>
    <row r="50" spans="1:14" x14ac:dyDescent="0.25">
      <c r="A50" s="1">
        <v>49</v>
      </c>
      <c r="B50" s="2">
        <v>40546</v>
      </c>
      <c r="C50" s="1">
        <v>1</v>
      </c>
      <c r="D50" s="1">
        <v>0</v>
      </c>
      <c r="E50" s="1">
        <v>1</v>
      </c>
      <c r="F50" s="1">
        <v>1</v>
      </c>
      <c r="G50" s="1" t="b">
        <v>0</v>
      </c>
      <c r="H50" s="1">
        <v>1</v>
      </c>
      <c r="I50" s="1">
        <v>1</v>
      </c>
      <c r="J50" s="1">
        <v>0.2</v>
      </c>
      <c r="K50" t="str">
        <f t="shared" si="0"/>
        <v>Weekday</v>
      </c>
      <c r="L50" t="str">
        <f t="shared" si="1"/>
        <v>Morning</v>
      </c>
      <c r="M50" t="str">
        <f t="shared" si="2"/>
        <v>Clear</v>
      </c>
      <c r="N50">
        <f>IFERROR(VLOOKUP(A50,Dataset2!A:Z,8,FALSE),"")</f>
        <v>1</v>
      </c>
    </row>
    <row r="51" spans="1:14" x14ac:dyDescent="0.25">
      <c r="A51" s="1">
        <v>50</v>
      </c>
      <c r="B51" s="2">
        <v>40546</v>
      </c>
      <c r="C51" s="1">
        <v>1</v>
      </c>
      <c r="D51" s="1">
        <v>0</v>
      </c>
      <c r="E51" s="1">
        <v>1</v>
      </c>
      <c r="F51" s="1">
        <v>4</v>
      </c>
      <c r="G51" s="1" t="b">
        <v>0</v>
      </c>
      <c r="H51" s="1">
        <v>1</v>
      </c>
      <c r="I51" s="1">
        <v>1</v>
      </c>
      <c r="J51" s="1">
        <v>0.16</v>
      </c>
      <c r="K51" t="str">
        <f t="shared" si="0"/>
        <v>Weekday</v>
      </c>
      <c r="L51" t="str">
        <f t="shared" si="1"/>
        <v>Morning</v>
      </c>
      <c r="M51" t="str">
        <f t="shared" si="2"/>
        <v>Clear</v>
      </c>
      <c r="N51">
        <f>IFERROR(VLOOKUP(A51,Dataset2!A:Z,8,FALSE),"")</f>
        <v>3</v>
      </c>
    </row>
    <row r="52" spans="1:14" x14ac:dyDescent="0.25">
      <c r="A52" s="1">
        <v>51</v>
      </c>
      <c r="B52" s="2">
        <v>40546</v>
      </c>
      <c r="C52" s="1">
        <v>1</v>
      </c>
      <c r="D52" s="1">
        <v>0</v>
      </c>
      <c r="E52" s="1">
        <v>1</v>
      </c>
      <c r="F52" s="1">
        <v>5</v>
      </c>
      <c r="G52" s="1" t="b">
        <v>0</v>
      </c>
      <c r="H52" s="1">
        <v>1</v>
      </c>
      <c r="I52" s="1">
        <v>1</v>
      </c>
      <c r="J52" s="1">
        <v>0.16</v>
      </c>
      <c r="K52" t="str">
        <f t="shared" si="0"/>
        <v>Weekday</v>
      </c>
      <c r="L52" t="str">
        <f t="shared" si="1"/>
        <v>Morning</v>
      </c>
      <c r="M52" t="str">
        <f t="shared" si="2"/>
        <v>Clear</v>
      </c>
      <c r="N52">
        <f>IFERROR(VLOOKUP(A52,Dataset2!A:Z,8,FALSE),"")</f>
        <v>30</v>
      </c>
    </row>
    <row r="53" spans="1:14" x14ac:dyDescent="0.25">
      <c r="A53" s="1">
        <v>52</v>
      </c>
      <c r="B53" s="2">
        <v>40546</v>
      </c>
      <c r="C53" s="1">
        <v>1</v>
      </c>
      <c r="D53" s="1">
        <v>0</v>
      </c>
      <c r="E53" s="1">
        <v>1</v>
      </c>
      <c r="F53" s="1">
        <v>6</v>
      </c>
      <c r="G53" s="1" t="b">
        <v>0</v>
      </c>
      <c r="H53" s="1">
        <v>1</v>
      </c>
      <c r="I53" s="1">
        <v>1</v>
      </c>
      <c r="J53" s="1">
        <v>0.14000000000000001</v>
      </c>
      <c r="K53" t="str">
        <f t="shared" si="0"/>
        <v>Weekday</v>
      </c>
      <c r="L53" t="str">
        <f t="shared" si="1"/>
        <v>Morning</v>
      </c>
      <c r="M53" t="str">
        <f t="shared" si="2"/>
        <v>Clear</v>
      </c>
      <c r="N53">
        <f>IFERROR(VLOOKUP(A53,Dataset2!A:Z,8,FALSE),"")</f>
        <v>64</v>
      </c>
    </row>
    <row r="54" spans="1:14" x14ac:dyDescent="0.25">
      <c r="A54" s="1">
        <v>53</v>
      </c>
      <c r="B54" s="2">
        <v>40546</v>
      </c>
      <c r="C54" s="1">
        <v>1</v>
      </c>
      <c r="D54" s="1">
        <v>0</v>
      </c>
      <c r="E54" s="1">
        <v>1</v>
      </c>
      <c r="F54" s="1">
        <v>7</v>
      </c>
      <c r="G54" s="1" t="b">
        <v>0</v>
      </c>
      <c r="H54" s="1">
        <v>1</v>
      </c>
      <c r="I54" s="1">
        <v>1</v>
      </c>
      <c r="J54" s="1">
        <v>0.14000000000000001</v>
      </c>
      <c r="K54" t="str">
        <f t="shared" si="0"/>
        <v>Weekday</v>
      </c>
      <c r="L54" t="str">
        <f t="shared" si="1"/>
        <v>Morning</v>
      </c>
      <c r="M54" t="str">
        <f t="shared" si="2"/>
        <v>Clear</v>
      </c>
      <c r="N54">
        <f>IFERROR(VLOOKUP(A54,Dataset2!A:Z,8,FALSE),"")</f>
        <v>154</v>
      </c>
    </row>
    <row r="55" spans="1:14" x14ac:dyDescent="0.25">
      <c r="A55" s="1">
        <v>54</v>
      </c>
      <c r="B55" s="2">
        <v>40546</v>
      </c>
      <c r="C55" s="1">
        <v>1</v>
      </c>
      <c r="D55" s="1">
        <v>0</v>
      </c>
      <c r="E55" s="1">
        <v>1</v>
      </c>
      <c r="F55" s="1">
        <v>8</v>
      </c>
      <c r="G55" s="1" t="b">
        <v>0</v>
      </c>
      <c r="H55" s="1">
        <v>1</v>
      </c>
      <c r="I55" s="1">
        <v>1</v>
      </c>
      <c r="J55" s="1">
        <v>0.14000000000000001</v>
      </c>
      <c r="K55" t="str">
        <f t="shared" si="0"/>
        <v>Weekday</v>
      </c>
      <c r="L55" t="str">
        <f t="shared" si="1"/>
        <v>Morning</v>
      </c>
      <c r="M55" t="str">
        <f t="shared" si="2"/>
        <v>Clear</v>
      </c>
      <c r="N55">
        <f>IFERROR(VLOOKUP(A55,Dataset2!A:Z,8,FALSE),"")</f>
        <v>88</v>
      </c>
    </row>
    <row r="56" spans="1:14" x14ac:dyDescent="0.25">
      <c r="A56" s="1">
        <v>55</v>
      </c>
      <c r="B56" s="2">
        <v>40546</v>
      </c>
      <c r="C56" s="1">
        <v>1</v>
      </c>
      <c r="D56" s="1">
        <v>0</v>
      </c>
      <c r="E56" s="1">
        <v>1</v>
      </c>
      <c r="F56" s="1">
        <v>9</v>
      </c>
      <c r="G56" s="1" t="b">
        <v>0</v>
      </c>
      <c r="H56" s="1">
        <v>1</v>
      </c>
      <c r="I56" s="1">
        <v>1</v>
      </c>
      <c r="J56" s="1">
        <v>0.16</v>
      </c>
      <c r="K56" t="str">
        <f t="shared" si="0"/>
        <v>Weekday</v>
      </c>
      <c r="L56" t="str">
        <f t="shared" si="1"/>
        <v>Morning</v>
      </c>
      <c r="M56" t="str">
        <f t="shared" si="2"/>
        <v>Clear</v>
      </c>
      <c r="N56">
        <f>IFERROR(VLOOKUP(A56,Dataset2!A:Z,8,FALSE),"")</f>
        <v>44</v>
      </c>
    </row>
    <row r="57" spans="1:14" x14ac:dyDescent="0.25">
      <c r="A57" s="1">
        <v>56</v>
      </c>
      <c r="B57" s="2">
        <v>40546</v>
      </c>
      <c r="C57" s="1">
        <v>1</v>
      </c>
      <c r="D57" s="1">
        <v>0</v>
      </c>
      <c r="E57" s="1">
        <v>1</v>
      </c>
      <c r="F57" s="1">
        <v>10</v>
      </c>
      <c r="G57" s="1" t="b">
        <v>0</v>
      </c>
      <c r="H57" s="1">
        <v>1</v>
      </c>
      <c r="I57" s="1">
        <v>1</v>
      </c>
      <c r="J57" s="1">
        <v>0.18</v>
      </c>
      <c r="K57" t="str">
        <f t="shared" si="0"/>
        <v>Weekday</v>
      </c>
      <c r="L57" t="str">
        <f t="shared" si="1"/>
        <v>Morning</v>
      </c>
      <c r="M57" t="str">
        <f t="shared" si="2"/>
        <v>Clear</v>
      </c>
      <c r="N57">
        <f>IFERROR(VLOOKUP(A57,Dataset2!A:Z,8,FALSE),"")</f>
        <v>51</v>
      </c>
    </row>
    <row r="58" spans="1:14" x14ac:dyDescent="0.25">
      <c r="A58" s="1">
        <v>57</v>
      </c>
      <c r="B58" s="2">
        <v>40546</v>
      </c>
      <c r="C58" s="1">
        <v>1</v>
      </c>
      <c r="D58" s="1">
        <v>0</v>
      </c>
      <c r="E58" s="1">
        <v>1</v>
      </c>
      <c r="F58" s="1">
        <v>11</v>
      </c>
      <c r="G58" s="1" t="b">
        <v>0</v>
      </c>
      <c r="H58" s="1">
        <v>1</v>
      </c>
      <c r="I58" s="1">
        <v>1</v>
      </c>
      <c r="J58" s="1">
        <v>0.2</v>
      </c>
      <c r="K58" t="str">
        <f t="shared" si="0"/>
        <v>Weekday</v>
      </c>
      <c r="L58" t="str">
        <f t="shared" si="1"/>
        <v>Morning</v>
      </c>
      <c r="M58" t="str">
        <f t="shared" si="2"/>
        <v>Clear</v>
      </c>
      <c r="N58">
        <f>IFERROR(VLOOKUP(A58,Dataset2!A:Z,8,FALSE),"")</f>
        <v>61</v>
      </c>
    </row>
    <row r="59" spans="1:14" x14ac:dyDescent="0.25">
      <c r="A59" s="1">
        <v>58</v>
      </c>
      <c r="B59" s="2">
        <v>40546</v>
      </c>
      <c r="C59" s="1">
        <v>1</v>
      </c>
      <c r="D59" s="1">
        <v>0</v>
      </c>
      <c r="E59" s="1">
        <v>1</v>
      </c>
      <c r="F59" s="1">
        <v>12</v>
      </c>
      <c r="G59" s="1" t="b">
        <v>0</v>
      </c>
      <c r="H59" s="1">
        <v>1</v>
      </c>
      <c r="I59" s="1">
        <v>1</v>
      </c>
      <c r="J59" s="1">
        <v>0.22</v>
      </c>
      <c r="K59" t="str">
        <f t="shared" si="0"/>
        <v>Weekday</v>
      </c>
      <c r="L59" t="str">
        <f t="shared" si="1"/>
        <v>Afternoon</v>
      </c>
      <c r="M59" t="str">
        <f t="shared" si="2"/>
        <v>Clear</v>
      </c>
      <c r="N59">
        <f>IFERROR(VLOOKUP(A59,Dataset2!A:Z,8,FALSE),"")</f>
        <v>61</v>
      </c>
    </row>
    <row r="60" spans="1:14" x14ac:dyDescent="0.25">
      <c r="A60" s="1">
        <v>59</v>
      </c>
      <c r="B60" s="2">
        <v>40546</v>
      </c>
      <c r="C60" s="1">
        <v>1</v>
      </c>
      <c r="D60" s="1">
        <v>0</v>
      </c>
      <c r="E60" s="1">
        <v>1</v>
      </c>
      <c r="F60" s="1">
        <v>13</v>
      </c>
      <c r="G60" s="1" t="b">
        <v>0</v>
      </c>
      <c r="H60" s="1">
        <v>1</v>
      </c>
      <c r="I60" s="1">
        <v>1</v>
      </c>
      <c r="J60" s="1">
        <v>0.24</v>
      </c>
      <c r="K60" t="str">
        <f t="shared" si="0"/>
        <v>Weekday</v>
      </c>
      <c r="L60" t="str">
        <f t="shared" si="1"/>
        <v>Afternoon</v>
      </c>
      <c r="M60" t="str">
        <f t="shared" si="2"/>
        <v>Clear</v>
      </c>
      <c r="N60">
        <f>IFERROR(VLOOKUP(A60,Dataset2!A:Z,8,FALSE),"")</f>
        <v>77</v>
      </c>
    </row>
    <row r="61" spans="1:14" x14ac:dyDescent="0.25">
      <c r="A61" s="1">
        <v>60</v>
      </c>
      <c r="B61" s="2">
        <v>40546</v>
      </c>
      <c r="C61" s="1">
        <v>1</v>
      </c>
      <c r="D61" s="1">
        <v>0</v>
      </c>
      <c r="E61" s="1">
        <v>1</v>
      </c>
      <c r="F61" s="1">
        <v>14</v>
      </c>
      <c r="G61" s="1" t="b">
        <v>0</v>
      </c>
      <c r="H61" s="1">
        <v>1</v>
      </c>
      <c r="I61" s="1">
        <v>1</v>
      </c>
      <c r="J61" s="1">
        <v>0.26</v>
      </c>
      <c r="K61" t="str">
        <f t="shared" si="0"/>
        <v>Weekday</v>
      </c>
      <c r="L61" t="str">
        <f t="shared" si="1"/>
        <v>Afternoon</v>
      </c>
      <c r="M61" t="str">
        <f t="shared" si="2"/>
        <v>Clear</v>
      </c>
      <c r="N61">
        <f>IFERROR(VLOOKUP(A61,Dataset2!A:Z,8,FALSE),"")</f>
        <v>72</v>
      </c>
    </row>
    <row r="62" spans="1:14" x14ac:dyDescent="0.25">
      <c r="A62" s="1">
        <v>61</v>
      </c>
      <c r="B62" s="2">
        <v>40546</v>
      </c>
      <c r="C62" s="1">
        <v>1</v>
      </c>
      <c r="D62" s="1">
        <v>0</v>
      </c>
      <c r="E62" s="1">
        <v>1</v>
      </c>
      <c r="F62" s="1">
        <v>15</v>
      </c>
      <c r="G62" s="1" t="b">
        <v>0</v>
      </c>
      <c r="H62" s="1">
        <v>1</v>
      </c>
      <c r="I62" s="1">
        <v>1</v>
      </c>
      <c r="J62" s="1">
        <v>0.26</v>
      </c>
      <c r="K62" t="str">
        <f t="shared" si="0"/>
        <v>Weekday</v>
      </c>
      <c r="L62" t="str">
        <f t="shared" si="1"/>
        <v>Afternoon</v>
      </c>
      <c r="M62" t="str">
        <f t="shared" si="2"/>
        <v>Clear</v>
      </c>
      <c r="N62">
        <f>IFERROR(VLOOKUP(A62,Dataset2!A:Z,8,FALSE),"")</f>
        <v>76</v>
      </c>
    </row>
    <row r="63" spans="1:14" x14ac:dyDescent="0.25">
      <c r="A63" s="1">
        <v>62</v>
      </c>
      <c r="B63" s="2">
        <v>40546</v>
      </c>
      <c r="C63" s="1">
        <v>1</v>
      </c>
      <c r="D63" s="1">
        <v>0</v>
      </c>
      <c r="E63" s="1">
        <v>1</v>
      </c>
      <c r="F63" s="1">
        <v>16</v>
      </c>
      <c r="G63" s="1" t="b">
        <v>0</v>
      </c>
      <c r="H63" s="1">
        <v>1</v>
      </c>
      <c r="I63" s="1">
        <v>1</v>
      </c>
      <c r="J63" s="1">
        <v>0.26</v>
      </c>
      <c r="K63" t="str">
        <f t="shared" si="0"/>
        <v>Weekday</v>
      </c>
      <c r="L63" t="str">
        <f t="shared" si="1"/>
        <v>Afternoon</v>
      </c>
      <c r="M63" t="str">
        <f t="shared" si="2"/>
        <v>Clear</v>
      </c>
      <c r="N63">
        <f>IFERROR(VLOOKUP(A63,Dataset2!A:Z,8,FALSE),"")</f>
        <v>157</v>
      </c>
    </row>
    <row r="64" spans="1:14" x14ac:dyDescent="0.25">
      <c r="A64" s="1">
        <v>63</v>
      </c>
      <c r="B64" s="2">
        <v>40546</v>
      </c>
      <c r="C64" s="1">
        <v>1</v>
      </c>
      <c r="D64" s="1">
        <v>0</v>
      </c>
      <c r="E64" s="1">
        <v>1</v>
      </c>
      <c r="F64" s="1">
        <v>17</v>
      </c>
      <c r="G64" s="1" t="b">
        <v>0</v>
      </c>
      <c r="H64" s="1">
        <v>1</v>
      </c>
      <c r="I64" s="1">
        <v>1</v>
      </c>
      <c r="J64" s="1">
        <v>0.24</v>
      </c>
      <c r="K64" t="str">
        <f t="shared" si="0"/>
        <v>Weekday</v>
      </c>
      <c r="L64" t="str">
        <f t="shared" si="1"/>
        <v>Afternoon</v>
      </c>
      <c r="M64" t="str">
        <f t="shared" si="2"/>
        <v>Clear</v>
      </c>
      <c r="N64">
        <f>IFERROR(VLOOKUP(A64,Dataset2!A:Z,8,FALSE),"")</f>
        <v>157</v>
      </c>
    </row>
    <row r="65" spans="1:14" x14ac:dyDescent="0.25">
      <c r="A65" s="1">
        <v>64</v>
      </c>
      <c r="B65" s="2">
        <v>40546</v>
      </c>
      <c r="C65" s="1">
        <v>1</v>
      </c>
      <c r="D65" s="1">
        <v>0</v>
      </c>
      <c r="E65" s="1">
        <v>1</v>
      </c>
      <c r="F65" s="1">
        <v>18</v>
      </c>
      <c r="G65" s="1" t="b">
        <v>0</v>
      </c>
      <c r="H65" s="1">
        <v>1</v>
      </c>
      <c r="I65" s="1">
        <v>1</v>
      </c>
      <c r="J65" s="1">
        <v>0.24</v>
      </c>
      <c r="K65" t="str">
        <f t="shared" si="0"/>
        <v>Weekday</v>
      </c>
      <c r="L65" t="str">
        <f t="shared" si="1"/>
        <v>Evening</v>
      </c>
      <c r="M65" t="str">
        <f t="shared" si="2"/>
        <v>Clear</v>
      </c>
      <c r="N65">
        <f>IFERROR(VLOOKUP(A65,Dataset2!A:Z,8,FALSE),"")</f>
        <v>110</v>
      </c>
    </row>
    <row r="66" spans="1:14" x14ac:dyDescent="0.25">
      <c r="A66" s="1">
        <v>65</v>
      </c>
      <c r="B66" s="2">
        <v>40546</v>
      </c>
      <c r="C66" s="1">
        <v>1</v>
      </c>
      <c r="D66" s="1">
        <v>0</v>
      </c>
      <c r="E66" s="1">
        <v>1</v>
      </c>
      <c r="F66" s="1">
        <v>19</v>
      </c>
      <c r="G66" s="1" t="b">
        <v>0</v>
      </c>
      <c r="H66" s="1">
        <v>1</v>
      </c>
      <c r="I66" s="1">
        <v>1</v>
      </c>
      <c r="J66" s="1">
        <v>0.2</v>
      </c>
      <c r="K66" t="str">
        <f t="shared" si="0"/>
        <v>Weekday</v>
      </c>
      <c r="L66" t="str">
        <f t="shared" si="1"/>
        <v>Evening</v>
      </c>
      <c r="M66" t="str">
        <f t="shared" si="2"/>
        <v>Clear</v>
      </c>
      <c r="N66">
        <f>IFERROR(VLOOKUP(A66,Dataset2!A:Z,8,FALSE),"")</f>
        <v>52</v>
      </c>
    </row>
    <row r="67" spans="1:14" x14ac:dyDescent="0.25">
      <c r="A67" s="1">
        <v>66</v>
      </c>
      <c r="B67" s="2">
        <v>40546</v>
      </c>
      <c r="C67" s="1">
        <v>1</v>
      </c>
      <c r="D67" s="1">
        <v>0</v>
      </c>
      <c r="E67" s="1">
        <v>1</v>
      </c>
      <c r="F67" s="1">
        <v>20</v>
      </c>
      <c r="G67" s="1" t="b">
        <v>0</v>
      </c>
      <c r="H67" s="1">
        <v>1</v>
      </c>
      <c r="I67" s="1">
        <v>1</v>
      </c>
      <c r="J67" s="1">
        <v>0.2</v>
      </c>
      <c r="K67" t="str">
        <f t="shared" ref="K67:K130" si="3">IF(OR(H67=0,H67=6),"Weekend","Weekday")</f>
        <v>Weekday</v>
      </c>
      <c r="L67" t="str">
        <f t="shared" ref="L67:L130" si="4">IF(F67&lt;12,"Morning",IF(F67&lt;18,"Afternoon","Evening"))</f>
        <v>Evening</v>
      </c>
      <c r="M67" t="str">
        <f t="shared" ref="M67:M130" si="5">IF(I67=1,"Clear",IF(I67=2,"cloudy",IF(I67=3,"Rain","Heavy Rain")))</f>
        <v>Clear</v>
      </c>
      <c r="N67">
        <f>IFERROR(VLOOKUP(A67,Dataset2!A:Z,8,FALSE),"")</f>
        <v>52</v>
      </c>
    </row>
    <row r="68" spans="1:14" x14ac:dyDescent="0.25">
      <c r="A68" s="1">
        <v>67</v>
      </c>
      <c r="B68" s="2">
        <v>40546</v>
      </c>
      <c r="C68" s="1">
        <v>1</v>
      </c>
      <c r="D68" s="1">
        <v>0</v>
      </c>
      <c r="E68" s="1">
        <v>1</v>
      </c>
      <c r="F68" s="1">
        <v>21</v>
      </c>
      <c r="G68" s="1" t="b">
        <v>0</v>
      </c>
      <c r="H68" s="1">
        <v>1</v>
      </c>
      <c r="I68" s="1">
        <v>1</v>
      </c>
      <c r="J68" s="1">
        <v>0.18</v>
      </c>
      <c r="K68" t="str">
        <f t="shared" si="3"/>
        <v>Weekday</v>
      </c>
      <c r="L68" t="str">
        <f t="shared" si="4"/>
        <v>Evening</v>
      </c>
      <c r="M68" t="str">
        <f t="shared" si="5"/>
        <v>Clear</v>
      </c>
      <c r="N68">
        <f>IFERROR(VLOOKUP(A68,Dataset2!A:Z,8,FALSE),"")</f>
        <v>20</v>
      </c>
    </row>
    <row r="69" spans="1:14" x14ac:dyDescent="0.25">
      <c r="A69" s="1">
        <v>68</v>
      </c>
      <c r="B69" s="2">
        <v>40546</v>
      </c>
      <c r="C69" s="1">
        <v>1</v>
      </c>
      <c r="D69" s="1">
        <v>0</v>
      </c>
      <c r="E69" s="1">
        <v>1</v>
      </c>
      <c r="F69" s="1">
        <v>22</v>
      </c>
      <c r="G69" s="1" t="b">
        <v>0</v>
      </c>
      <c r="H69" s="1">
        <v>1</v>
      </c>
      <c r="I69" s="1">
        <v>1</v>
      </c>
      <c r="J69" s="1">
        <v>0.14000000000000001</v>
      </c>
      <c r="K69" t="str">
        <f t="shared" si="3"/>
        <v>Weekday</v>
      </c>
      <c r="L69" t="str">
        <f t="shared" si="4"/>
        <v>Evening</v>
      </c>
      <c r="M69" t="str">
        <f t="shared" si="5"/>
        <v>Clear</v>
      </c>
      <c r="N69">
        <f>IFERROR(VLOOKUP(A69,Dataset2!A:Z,8,FALSE),"")</f>
        <v>12</v>
      </c>
    </row>
    <row r="70" spans="1:14" x14ac:dyDescent="0.25">
      <c r="A70" s="1">
        <v>69</v>
      </c>
      <c r="B70" s="2">
        <v>40546</v>
      </c>
      <c r="C70" s="1">
        <v>1</v>
      </c>
      <c r="D70" s="1">
        <v>0</v>
      </c>
      <c r="E70" s="1">
        <v>1</v>
      </c>
      <c r="F70" s="1">
        <v>23</v>
      </c>
      <c r="G70" s="1" t="b">
        <v>0</v>
      </c>
      <c r="H70" s="1">
        <v>1</v>
      </c>
      <c r="I70" s="1">
        <v>1</v>
      </c>
      <c r="J70" s="1">
        <v>0.18</v>
      </c>
      <c r="K70" t="str">
        <f t="shared" si="3"/>
        <v>Weekday</v>
      </c>
      <c r="L70" t="str">
        <f t="shared" si="4"/>
        <v>Evening</v>
      </c>
      <c r="M70" t="str">
        <f t="shared" si="5"/>
        <v>Clear</v>
      </c>
      <c r="N70">
        <f>IFERROR(VLOOKUP(A70,Dataset2!A:Z,8,FALSE),"")</f>
        <v>5</v>
      </c>
    </row>
    <row r="71" spans="1:14" x14ac:dyDescent="0.25">
      <c r="A71" s="1">
        <v>70</v>
      </c>
      <c r="B71" s="2">
        <v>40547</v>
      </c>
      <c r="C71" s="1">
        <v>1</v>
      </c>
      <c r="D71" s="1">
        <v>0</v>
      </c>
      <c r="E71" s="1">
        <v>1</v>
      </c>
      <c r="F71" s="1">
        <v>0</v>
      </c>
      <c r="G71" s="1" t="b">
        <v>0</v>
      </c>
      <c r="H71" s="1">
        <v>2</v>
      </c>
      <c r="I71" s="1">
        <v>1</v>
      </c>
      <c r="J71" s="1">
        <v>0.16</v>
      </c>
      <c r="K71" t="str">
        <f t="shared" si="3"/>
        <v>Weekday</v>
      </c>
      <c r="L71" t="str">
        <f t="shared" si="4"/>
        <v>Morning</v>
      </c>
      <c r="M71" t="str">
        <f t="shared" si="5"/>
        <v>Clear</v>
      </c>
      <c r="N71">
        <f>IFERROR(VLOOKUP(A71,Dataset2!A:Z,8,FALSE),"")</f>
        <v>2</v>
      </c>
    </row>
    <row r="72" spans="1:14" x14ac:dyDescent="0.25">
      <c r="A72" s="1">
        <v>71</v>
      </c>
      <c r="B72" s="2">
        <v>40547</v>
      </c>
      <c r="C72" s="1">
        <v>1</v>
      </c>
      <c r="D72" s="1">
        <v>0</v>
      </c>
      <c r="E72" s="1">
        <v>1</v>
      </c>
      <c r="F72" s="1">
        <v>1</v>
      </c>
      <c r="G72" s="1" t="b">
        <v>0</v>
      </c>
      <c r="H72" s="1">
        <v>2</v>
      </c>
      <c r="I72" s="1">
        <v>1</v>
      </c>
      <c r="J72" s="1">
        <v>0.16</v>
      </c>
      <c r="K72" t="str">
        <f t="shared" si="3"/>
        <v>Weekday</v>
      </c>
      <c r="L72" t="str">
        <f t="shared" si="4"/>
        <v>Morning</v>
      </c>
      <c r="M72" t="str">
        <f t="shared" si="5"/>
        <v>Clear</v>
      </c>
      <c r="N72">
        <f>IFERROR(VLOOKUP(A72,Dataset2!A:Z,8,FALSE),"")</f>
        <v>1</v>
      </c>
    </row>
    <row r="73" spans="1:14" x14ac:dyDescent="0.25">
      <c r="A73" s="1">
        <v>72</v>
      </c>
      <c r="B73" s="2">
        <v>40547</v>
      </c>
      <c r="C73" s="1">
        <v>1</v>
      </c>
      <c r="D73" s="1">
        <v>0</v>
      </c>
      <c r="E73" s="1">
        <v>1</v>
      </c>
      <c r="F73" s="1">
        <v>2</v>
      </c>
      <c r="G73" s="1" t="b">
        <v>0</v>
      </c>
      <c r="H73" s="1">
        <v>2</v>
      </c>
      <c r="I73" s="1">
        <v>1</v>
      </c>
      <c r="J73" s="1">
        <v>0.14000000000000001</v>
      </c>
      <c r="K73" t="str">
        <f t="shared" si="3"/>
        <v>Weekday</v>
      </c>
      <c r="L73" t="str">
        <f t="shared" si="4"/>
        <v>Morning</v>
      </c>
      <c r="M73" t="str">
        <f t="shared" si="5"/>
        <v>Clear</v>
      </c>
      <c r="N73">
        <f>IFERROR(VLOOKUP(A73,Dataset2!A:Z,8,FALSE),"")</f>
        <v>2</v>
      </c>
    </row>
    <row r="74" spans="1:14" x14ac:dyDescent="0.25">
      <c r="A74" s="1">
        <v>73</v>
      </c>
      <c r="B74" s="2">
        <v>40547</v>
      </c>
      <c r="C74" s="1">
        <v>1</v>
      </c>
      <c r="D74" s="1">
        <v>0</v>
      </c>
      <c r="E74" s="1">
        <v>1</v>
      </c>
      <c r="F74" s="1">
        <v>4</v>
      </c>
      <c r="G74" s="1" t="b">
        <v>0</v>
      </c>
      <c r="H74" s="1">
        <v>2</v>
      </c>
      <c r="I74" s="1">
        <v>1</v>
      </c>
      <c r="J74" s="1">
        <v>0.14000000000000001</v>
      </c>
      <c r="K74" t="str">
        <f t="shared" si="3"/>
        <v>Weekday</v>
      </c>
      <c r="L74" t="str">
        <f t="shared" si="4"/>
        <v>Morning</v>
      </c>
      <c r="M74" t="str">
        <f t="shared" si="5"/>
        <v>Clear</v>
      </c>
      <c r="N74">
        <f>IFERROR(VLOOKUP(A74,Dataset2!A:Z,8,FALSE),"")</f>
        <v>4</v>
      </c>
    </row>
    <row r="75" spans="1:14" x14ac:dyDescent="0.25">
      <c r="A75" s="1">
        <v>74</v>
      </c>
      <c r="B75" s="2">
        <v>40547</v>
      </c>
      <c r="C75" s="1">
        <v>1</v>
      </c>
      <c r="D75" s="1">
        <v>0</v>
      </c>
      <c r="E75" s="1">
        <v>1</v>
      </c>
      <c r="F75" s="1">
        <v>5</v>
      </c>
      <c r="G75" s="1" t="b">
        <v>0</v>
      </c>
      <c r="H75" s="1">
        <v>2</v>
      </c>
      <c r="I75" s="1">
        <v>1</v>
      </c>
      <c r="J75" s="1">
        <v>0.12</v>
      </c>
      <c r="K75" t="str">
        <f t="shared" si="3"/>
        <v>Weekday</v>
      </c>
      <c r="L75" t="str">
        <f t="shared" si="4"/>
        <v>Morning</v>
      </c>
      <c r="M75" t="str">
        <f t="shared" si="5"/>
        <v>Clear</v>
      </c>
      <c r="N75">
        <f>IFERROR(VLOOKUP(A75,Dataset2!A:Z,8,FALSE),"")</f>
        <v>36</v>
      </c>
    </row>
    <row r="76" spans="1:14" x14ac:dyDescent="0.25">
      <c r="A76" s="1">
        <v>75</v>
      </c>
      <c r="B76" s="2">
        <v>40547</v>
      </c>
      <c r="C76" s="1">
        <v>1</v>
      </c>
      <c r="D76" s="1">
        <v>0</v>
      </c>
      <c r="E76" s="1">
        <v>1</v>
      </c>
      <c r="F76" s="1">
        <v>6</v>
      </c>
      <c r="G76" s="1" t="b">
        <v>0</v>
      </c>
      <c r="H76" s="1">
        <v>2</v>
      </c>
      <c r="I76" s="1">
        <v>1</v>
      </c>
      <c r="J76" s="1">
        <v>0.12</v>
      </c>
      <c r="K76" t="str">
        <f t="shared" si="3"/>
        <v>Weekday</v>
      </c>
      <c r="L76" t="str">
        <f t="shared" si="4"/>
        <v>Morning</v>
      </c>
      <c r="M76" t="str">
        <f t="shared" si="5"/>
        <v>Clear</v>
      </c>
      <c r="N76">
        <f>IFERROR(VLOOKUP(A76,Dataset2!A:Z,8,FALSE),"")</f>
        <v>94</v>
      </c>
    </row>
    <row r="77" spans="1:14" x14ac:dyDescent="0.25">
      <c r="A77" s="1">
        <v>76</v>
      </c>
      <c r="B77" s="2">
        <v>40547</v>
      </c>
      <c r="C77" s="1">
        <v>1</v>
      </c>
      <c r="D77" s="1">
        <v>0</v>
      </c>
      <c r="E77" s="1">
        <v>1</v>
      </c>
      <c r="F77" s="1">
        <v>7</v>
      </c>
      <c r="G77" s="1" t="b">
        <v>0</v>
      </c>
      <c r="H77" s="1">
        <v>2</v>
      </c>
      <c r="I77" s="1">
        <v>1</v>
      </c>
      <c r="J77" s="1">
        <v>0.12</v>
      </c>
      <c r="K77" t="str">
        <f t="shared" si="3"/>
        <v>Weekday</v>
      </c>
      <c r="L77" t="str">
        <f t="shared" si="4"/>
        <v>Morning</v>
      </c>
      <c r="M77" t="str">
        <f t="shared" si="5"/>
        <v>Clear</v>
      </c>
      <c r="N77">
        <f>IFERROR(VLOOKUP(A77,Dataset2!A:Z,8,FALSE),"")</f>
        <v>179</v>
      </c>
    </row>
    <row r="78" spans="1:14" x14ac:dyDescent="0.25">
      <c r="A78" s="1">
        <v>77</v>
      </c>
      <c r="B78" s="2">
        <v>40547</v>
      </c>
      <c r="C78" s="1">
        <v>1</v>
      </c>
      <c r="D78" s="1">
        <v>0</v>
      </c>
      <c r="E78" s="1">
        <v>1</v>
      </c>
      <c r="F78" s="1">
        <v>8</v>
      </c>
      <c r="G78" s="1" t="b">
        <v>0</v>
      </c>
      <c r="H78" s="1">
        <v>2</v>
      </c>
      <c r="I78" s="1">
        <v>1</v>
      </c>
      <c r="J78" s="1">
        <v>0.14000000000000001</v>
      </c>
      <c r="K78" t="str">
        <f t="shared" si="3"/>
        <v>Weekday</v>
      </c>
      <c r="L78" t="str">
        <f t="shared" si="4"/>
        <v>Morning</v>
      </c>
      <c r="M78" t="str">
        <f t="shared" si="5"/>
        <v>Clear</v>
      </c>
      <c r="N78">
        <f>IFERROR(VLOOKUP(A78,Dataset2!A:Z,8,FALSE),"")</f>
        <v>100</v>
      </c>
    </row>
    <row r="79" spans="1:14" x14ac:dyDescent="0.25">
      <c r="A79" s="1">
        <v>78</v>
      </c>
      <c r="B79" s="2">
        <v>40547</v>
      </c>
      <c r="C79" s="1">
        <v>1</v>
      </c>
      <c r="D79" s="1">
        <v>0</v>
      </c>
      <c r="E79" s="1">
        <v>1</v>
      </c>
      <c r="F79" s="1">
        <v>9</v>
      </c>
      <c r="G79" s="1" t="b">
        <v>0</v>
      </c>
      <c r="H79" s="1">
        <v>2</v>
      </c>
      <c r="I79" s="1">
        <v>1</v>
      </c>
      <c r="J79" s="1">
        <v>0.16</v>
      </c>
      <c r="K79" t="str">
        <f t="shared" si="3"/>
        <v>Weekday</v>
      </c>
      <c r="L79" t="str">
        <f t="shared" si="4"/>
        <v>Morning</v>
      </c>
      <c r="M79" t="str">
        <f t="shared" si="5"/>
        <v>Clear</v>
      </c>
      <c r="N79">
        <f>IFERROR(VLOOKUP(A79,Dataset2!A:Z,8,FALSE),"")</f>
        <v>42</v>
      </c>
    </row>
    <row r="80" spans="1:14" x14ac:dyDescent="0.25">
      <c r="A80" s="1">
        <v>79</v>
      </c>
      <c r="B80" s="2">
        <v>40547</v>
      </c>
      <c r="C80" s="1">
        <v>1</v>
      </c>
      <c r="D80" s="1">
        <v>0</v>
      </c>
      <c r="E80" s="1">
        <v>1</v>
      </c>
      <c r="F80" s="1">
        <v>10</v>
      </c>
      <c r="G80" s="1" t="b">
        <v>0</v>
      </c>
      <c r="H80" s="1">
        <v>2</v>
      </c>
      <c r="I80" s="1">
        <v>2</v>
      </c>
      <c r="J80" s="1">
        <v>0.16</v>
      </c>
      <c r="K80" t="str">
        <f t="shared" si="3"/>
        <v>Weekday</v>
      </c>
      <c r="L80" t="str">
        <f t="shared" si="4"/>
        <v>Morning</v>
      </c>
      <c r="M80" t="str">
        <f t="shared" si="5"/>
        <v>cloudy</v>
      </c>
      <c r="N80">
        <f>IFERROR(VLOOKUP(A80,Dataset2!A:Z,8,FALSE),"")</f>
        <v>57</v>
      </c>
    </row>
    <row r="81" spans="1:14" x14ac:dyDescent="0.25">
      <c r="A81" s="1">
        <v>80</v>
      </c>
      <c r="B81" s="2">
        <v>40547</v>
      </c>
      <c r="C81" s="1">
        <v>1</v>
      </c>
      <c r="D81" s="1">
        <v>0</v>
      </c>
      <c r="E81" s="1">
        <v>1</v>
      </c>
      <c r="F81" s="1">
        <v>11</v>
      </c>
      <c r="G81" s="1" t="b">
        <v>0</v>
      </c>
      <c r="H81" s="1">
        <v>2</v>
      </c>
      <c r="I81" s="1">
        <v>1</v>
      </c>
      <c r="J81" s="1">
        <v>0.22</v>
      </c>
      <c r="K81" t="str">
        <f t="shared" si="3"/>
        <v>Weekday</v>
      </c>
      <c r="L81" t="str">
        <f t="shared" si="4"/>
        <v>Morning</v>
      </c>
      <c r="M81" t="str">
        <f t="shared" si="5"/>
        <v>Clear</v>
      </c>
      <c r="N81">
        <f>IFERROR(VLOOKUP(A81,Dataset2!A:Z,8,FALSE),"")</f>
        <v>78</v>
      </c>
    </row>
    <row r="82" spans="1:14" x14ac:dyDescent="0.25">
      <c r="A82" s="1">
        <v>81</v>
      </c>
      <c r="B82" s="2">
        <v>40547</v>
      </c>
      <c r="C82" s="1">
        <v>1</v>
      </c>
      <c r="D82" s="1">
        <v>0</v>
      </c>
      <c r="E82" s="1">
        <v>1</v>
      </c>
      <c r="F82" s="1">
        <v>12</v>
      </c>
      <c r="G82" s="1" t="b">
        <v>0</v>
      </c>
      <c r="H82" s="1">
        <v>2</v>
      </c>
      <c r="I82" s="1">
        <v>1</v>
      </c>
      <c r="J82" s="1">
        <v>0.22</v>
      </c>
      <c r="K82" t="str">
        <f t="shared" si="3"/>
        <v>Weekday</v>
      </c>
      <c r="L82" t="str">
        <f t="shared" si="4"/>
        <v>Afternoon</v>
      </c>
      <c r="M82" t="str">
        <f t="shared" si="5"/>
        <v>Clear</v>
      </c>
      <c r="N82">
        <f>IFERROR(VLOOKUP(A82,Dataset2!A:Z,8,FALSE),"")</f>
        <v>97</v>
      </c>
    </row>
    <row r="83" spans="1:14" x14ac:dyDescent="0.25">
      <c r="A83" s="1">
        <v>82</v>
      </c>
      <c r="B83" s="2">
        <v>40547</v>
      </c>
      <c r="C83" s="1">
        <v>1</v>
      </c>
      <c r="D83" s="1">
        <v>0</v>
      </c>
      <c r="E83" s="1">
        <v>1</v>
      </c>
      <c r="F83" s="1">
        <v>13</v>
      </c>
      <c r="G83" s="1" t="b">
        <v>0</v>
      </c>
      <c r="H83" s="1">
        <v>2</v>
      </c>
      <c r="I83" s="1">
        <v>1</v>
      </c>
      <c r="J83" s="1">
        <v>0.24</v>
      </c>
      <c r="K83" t="str">
        <f t="shared" si="3"/>
        <v>Weekday</v>
      </c>
      <c r="L83" t="str">
        <f t="shared" si="4"/>
        <v>Afternoon</v>
      </c>
      <c r="M83" t="str">
        <f t="shared" si="5"/>
        <v>Clear</v>
      </c>
      <c r="N83">
        <f>IFERROR(VLOOKUP(A83,Dataset2!A:Z,8,FALSE),"")</f>
        <v>63</v>
      </c>
    </row>
    <row r="84" spans="1:14" x14ac:dyDescent="0.25">
      <c r="A84" s="1">
        <v>83</v>
      </c>
      <c r="B84" s="2">
        <v>40547</v>
      </c>
      <c r="C84" s="1">
        <v>1</v>
      </c>
      <c r="D84" s="1">
        <v>0</v>
      </c>
      <c r="E84" s="1">
        <v>1</v>
      </c>
      <c r="F84" s="1">
        <v>14</v>
      </c>
      <c r="G84" s="1" t="b">
        <v>0</v>
      </c>
      <c r="H84" s="1">
        <v>2</v>
      </c>
      <c r="I84" s="1">
        <v>1</v>
      </c>
      <c r="J84" s="1">
        <v>0.26</v>
      </c>
      <c r="K84" t="str">
        <f t="shared" si="3"/>
        <v>Weekday</v>
      </c>
      <c r="L84" t="str">
        <f t="shared" si="4"/>
        <v>Afternoon</v>
      </c>
      <c r="M84" t="str">
        <f t="shared" si="5"/>
        <v>Clear</v>
      </c>
      <c r="N84">
        <f>IFERROR(VLOOKUP(A84,Dataset2!A:Z,8,FALSE),"")</f>
        <v>65</v>
      </c>
    </row>
    <row r="85" spans="1:14" x14ac:dyDescent="0.25">
      <c r="A85" s="1">
        <v>84</v>
      </c>
      <c r="B85" s="2">
        <v>40547</v>
      </c>
      <c r="C85" s="1">
        <v>1</v>
      </c>
      <c r="D85" s="1">
        <v>0</v>
      </c>
      <c r="E85" s="1">
        <v>1</v>
      </c>
      <c r="F85" s="1">
        <v>15</v>
      </c>
      <c r="G85" s="1" t="b">
        <v>0</v>
      </c>
      <c r="H85" s="1">
        <v>2</v>
      </c>
      <c r="I85" s="1">
        <v>1</v>
      </c>
      <c r="J85" s="1">
        <v>0.28000000000000003</v>
      </c>
      <c r="K85" t="str">
        <f t="shared" si="3"/>
        <v>Weekday</v>
      </c>
      <c r="L85" t="str">
        <f t="shared" si="4"/>
        <v>Afternoon</v>
      </c>
      <c r="M85" t="str">
        <f t="shared" si="5"/>
        <v>Clear</v>
      </c>
      <c r="N85">
        <f>IFERROR(VLOOKUP(A85,Dataset2!A:Z,8,FALSE),"")</f>
        <v>83</v>
      </c>
    </row>
    <row r="86" spans="1:14" x14ac:dyDescent="0.25">
      <c r="A86" s="1">
        <v>85</v>
      </c>
      <c r="B86" s="2">
        <v>40547</v>
      </c>
      <c r="C86" s="1">
        <v>1</v>
      </c>
      <c r="D86" s="1">
        <v>0</v>
      </c>
      <c r="E86" s="1">
        <v>1</v>
      </c>
      <c r="F86" s="1">
        <v>16</v>
      </c>
      <c r="G86" s="1" t="b">
        <v>0</v>
      </c>
      <c r="H86" s="1">
        <v>2</v>
      </c>
      <c r="I86" s="1">
        <v>1</v>
      </c>
      <c r="J86" s="1">
        <v>0.3</v>
      </c>
      <c r="K86" t="str">
        <f t="shared" si="3"/>
        <v>Weekday</v>
      </c>
      <c r="L86" t="str">
        <f t="shared" si="4"/>
        <v>Afternoon</v>
      </c>
      <c r="M86" t="str">
        <f t="shared" si="5"/>
        <v>Clear</v>
      </c>
      <c r="N86">
        <f>IFERROR(VLOOKUP(A86,Dataset2!A:Z,8,FALSE),"")</f>
        <v>212</v>
      </c>
    </row>
    <row r="87" spans="1:14" x14ac:dyDescent="0.25">
      <c r="A87" s="1">
        <v>86</v>
      </c>
      <c r="B87" s="2">
        <v>40547</v>
      </c>
      <c r="C87" s="1">
        <v>1</v>
      </c>
      <c r="D87" s="1">
        <v>0</v>
      </c>
      <c r="E87" s="1">
        <v>1</v>
      </c>
      <c r="F87" s="1">
        <v>17</v>
      </c>
      <c r="G87" s="1" t="b">
        <v>0</v>
      </c>
      <c r="H87" s="1">
        <v>2</v>
      </c>
      <c r="I87" s="1">
        <v>1</v>
      </c>
      <c r="J87" s="1">
        <v>0.28000000000000003</v>
      </c>
      <c r="K87" t="str">
        <f t="shared" si="3"/>
        <v>Weekday</v>
      </c>
      <c r="L87" t="str">
        <f t="shared" si="4"/>
        <v>Afternoon</v>
      </c>
      <c r="M87" t="str">
        <f t="shared" si="5"/>
        <v>Clear</v>
      </c>
      <c r="N87">
        <f>IFERROR(VLOOKUP(A87,Dataset2!A:Z,8,FALSE),"")</f>
        <v>182</v>
      </c>
    </row>
    <row r="88" spans="1:14" x14ac:dyDescent="0.25">
      <c r="A88" s="1">
        <v>87</v>
      </c>
      <c r="B88" s="2">
        <v>40547</v>
      </c>
      <c r="C88" s="1">
        <v>1</v>
      </c>
      <c r="D88" s="1">
        <v>0</v>
      </c>
      <c r="E88" s="1">
        <v>1</v>
      </c>
      <c r="F88" s="1">
        <v>18</v>
      </c>
      <c r="G88" s="1" t="b">
        <v>0</v>
      </c>
      <c r="H88" s="1">
        <v>2</v>
      </c>
      <c r="I88" s="1">
        <v>1</v>
      </c>
      <c r="J88" s="1">
        <v>0.26</v>
      </c>
      <c r="K88" t="str">
        <f t="shared" si="3"/>
        <v>Weekday</v>
      </c>
      <c r="L88" t="str">
        <f t="shared" si="4"/>
        <v>Evening</v>
      </c>
      <c r="M88" t="str">
        <f t="shared" si="5"/>
        <v>Clear</v>
      </c>
      <c r="N88">
        <f>IFERROR(VLOOKUP(A88,Dataset2!A:Z,8,FALSE),"")</f>
        <v>112</v>
      </c>
    </row>
    <row r="89" spans="1:14" x14ac:dyDescent="0.25">
      <c r="A89" s="1">
        <v>88</v>
      </c>
      <c r="B89" s="2">
        <v>40547</v>
      </c>
      <c r="C89" s="1">
        <v>1</v>
      </c>
      <c r="D89" s="1">
        <v>0</v>
      </c>
      <c r="E89" s="1">
        <v>1</v>
      </c>
      <c r="F89" s="1">
        <v>19</v>
      </c>
      <c r="G89" s="1" t="b">
        <v>0</v>
      </c>
      <c r="H89" s="1">
        <v>2</v>
      </c>
      <c r="I89" s="1">
        <v>1</v>
      </c>
      <c r="J89" s="1">
        <v>0.24</v>
      </c>
      <c r="K89" t="str">
        <f t="shared" si="3"/>
        <v>Weekday</v>
      </c>
      <c r="L89" t="str">
        <f t="shared" si="4"/>
        <v>Evening</v>
      </c>
      <c r="M89" t="str">
        <f t="shared" si="5"/>
        <v>Clear</v>
      </c>
      <c r="N89">
        <f>IFERROR(VLOOKUP(A89,Dataset2!A:Z,8,FALSE),"")</f>
        <v>54</v>
      </c>
    </row>
    <row r="90" spans="1:14" x14ac:dyDescent="0.25">
      <c r="A90" s="1">
        <v>89</v>
      </c>
      <c r="B90" s="2">
        <v>40547</v>
      </c>
      <c r="C90" s="1">
        <v>1</v>
      </c>
      <c r="D90" s="1">
        <v>0</v>
      </c>
      <c r="E90" s="1">
        <v>1</v>
      </c>
      <c r="F90" s="1">
        <v>20</v>
      </c>
      <c r="G90" s="1" t="b">
        <v>0</v>
      </c>
      <c r="H90" s="1">
        <v>2</v>
      </c>
      <c r="I90" s="1">
        <v>1</v>
      </c>
      <c r="J90" s="1">
        <v>0.24</v>
      </c>
      <c r="K90" t="str">
        <f t="shared" si="3"/>
        <v>Weekday</v>
      </c>
      <c r="L90" t="str">
        <f t="shared" si="4"/>
        <v>Evening</v>
      </c>
      <c r="M90" t="str">
        <f t="shared" si="5"/>
        <v>Clear</v>
      </c>
      <c r="N90">
        <f>IFERROR(VLOOKUP(A90,Dataset2!A:Z,8,FALSE),"")</f>
        <v>48</v>
      </c>
    </row>
    <row r="91" spans="1:14" x14ac:dyDescent="0.25">
      <c r="A91" s="1">
        <v>90</v>
      </c>
      <c r="B91" s="2">
        <v>40547</v>
      </c>
      <c r="C91" s="1">
        <v>1</v>
      </c>
      <c r="D91" s="1">
        <v>0</v>
      </c>
      <c r="E91" s="1">
        <v>1</v>
      </c>
      <c r="F91" s="1">
        <v>21</v>
      </c>
      <c r="G91" s="1" t="b">
        <v>0</v>
      </c>
      <c r="H91" s="1">
        <v>2</v>
      </c>
      <c r="I91" s="1">
        <v>1</v>
      </c>
      <c r="J91" s="1">
        <v>0.22</v>
      </c>
      <c r="K91" t="str">
        <f t="shared" si="3"/>
        <v>Weekday</v>
      </c>
      <c r="L91" t="str">
        <f t="shared" si="4"/>
        <v>Evening</v>
      </c>
      <c r="M91" t="str">
        <f t="shared" si="5"/>
        <v>Clear</v>
      </c>
      <c r="N91">
        <f>IFERROR(VLOOKUP(A91,Dataset2!A:Z,8,FALSE),"")</f>
        <v>35</v>
      </c>
    </row>
    <row r="92" spans="1:14" x14ac:dyDescent="0.25">
      <c r="A92" s="1">
        <v>91</v>
      </c>
      <c r="B92" s="2">
        <v>40547</v>
      </c>
      <c r="C92" s="1">
        <v>1</v>
      </c>
      <c r="D92" s="1">
        <v>0</v>
      </c>
      <c r="E92" s="1">
        <v>1</v>
      </c>
      <c r="F92" s="1">
        <v>22</v>
      </c>
      <c r="G92" s="1" t="b">
        <v>0</v>
      </c>
      <c r="H92" s="1">
        <v>2</v>
      </c>
      <c r="I92" s="1">
        <v>1</v>
      </c>
      <c r="J92" s="1">
        <v>0.22</v>
      </c>
      <c r="K92" t="str">
        <f t="shared" si="3"/>
        <v>Weekday</v>
      </c>
      <c r="L92" t="str">
        <f t="shared" si="4"/>
        <v>Evening</v>
      </c>
      <c r="M92" t="str">
        <f t="shared" si="5"/>
        <v>Clear</v>
      </c>
      <c r="N92">
        <f>IFERROR(VLOOKUP(A92,Dataset2!A:Z,8,FALSE),"")</f>
        <v>11</v>
      </c>
    </row>
    <row r="93" spans="1:14" x14ac:dyDescent="0.25">
      <c r="A93" s="1">
        <v>92</v>
      </c>
      <c r="B93" s="2">
        <v>40547</v>
      </c>
      <c r="C93" s="1">
        <v>1</v>
      </c>
      <c r="D93" s="1">
        <v>0</v>
      </c>
      <c r="E93" s="1">
        <v>1</v>
      </c>
      <c r="F93" s="1">
        <v>23</v>
      </c>
      <c r="G93" s="1" t="b">
        <v>0</v>
      </c>
      <c r="H93" s="1">
        <v>2</v>
      </c>
      <c r="I93" s="1">
        <v>1</v>
      </c>
      <c r="J93" s="1">
        <v>0.2</v>
      </c>
      <c r="K93" t="str">
        <f t="shared" si="3"/>
        <v>Weekday</v>
      </c>
      <c r="L93" t="str">
        <f t="shared" si="4"/>
        <v>Evening</v>
      </c>
      <c r="M93" t="str">
        <f t="shared" si="5"/>
        <v>Clear</v>
      </c>
      <c r="N93">
        <f>IFERROR(VLOOKUP(A93,Dataset2!A:Z,8,FALSE),"")</f>
        <v>6</v>
      </c>
    </row>
    <row r="94" spans="1:14" x14ac:dyDescent="0.25">
      <c r="A94" s="1">
        <v>93</v>
      </c>
      <c r="B94" s="2">
        <v>40548</v>
      </c>
      <c r="C94" s="1">
        <v>1</v>
      </c>
      <c r="D94" s="1">
        <v>0</v>
      </c>
      <c r="E94" s="1">
        <v>1</v>
      </c>
      <c r="F94" s="1">
        <v>0</v>
      </c>
      <c r="G94" s="1" t="b">
        <v>0</v>
      </c>
      <c r="H94" s="1">
        <v>3</v>
      </c>
      <c r="I94" s="1">
        <v>1</v>
      </c>
      <c r="J94" s="1">
        <v>0.2</v>
      </c>
      <c r="K94" t="str">
        <f t="shared" si="3"/>
        <v>Weekday</v>
      </c>
      <c r="L94" t="str">
        <f t="shared" si="4"/>
        <v>Morning</v>
      </c>
      <c r="M94" t="str">
        <f t="shared" si="5"/>
        <v>Clear</v>
      </c>
      <c r="N94">
        <f>IFERROR(VLOOKUP(A94,Dataset2!A:Z,8,FALSE),"")</f>
        <v>6</v>
      </c>
    </row>
    <row r="95" spans="1:14" x14ac:dyDescent="0.25">
      <c r="A95" s="1">
        <v>94</v>
      </c>
      <c r="B95" s="2">
        <v>40548</v>
      </c>
      <c r="C95" s="1">
        <v>1</v>
      </c>
      <c r="D95" s="1">
        <v>0</v>
      </c>
      <c r="E95" s="1">
        <v>1</v>
      </c>
      <c r="F95" s="1">
        <v>1</v>
      </c>
      <c r="G95" s="1" t="b">
        <v>0</v>
      </c>
      <c r="H95" s="1">
        <v>3</v>
      </c>
      <c r="I95" s="1">
        <v>1</v>
      </c>
      <c r="J95" s="1">
        <v>0.16</v>
      </c>
      <c r="K95" t="str">
        <f t="shared" si="3"/>
        <v>Weekday</v>
      </c>
      <c r="L95" t="str">
        <f t="shared" si="4"/>
        <v>Morning</v>
      </c>
      <c r="M95" t="str">
        <f t="shared" si="5"/>
        <v>Clear</v>
      </c>
      <c r="N95">
        <f>IFERROR(VLOOKUP(A95,Dataset2!A:Z,8,FALSE),"")</f>
        <v>2</v>
      </c>
    </row>
    <row r="96" spans="1:14" x14ac:dyDescent="0.25">
      <c r="A96" s="1">
        <v>95</v>
      </c>
      <c r="B96" s="2">
        <v>40548</v>
      </c>
      <c r="C96" s="1">
        <v>1</v>
      </c>
      <c r="D96" s="1">
        <v>0</v>
      </c>
      <c r="E96" s="1">
        <v>1</v>
      </c>
      <c r="F96" s="1">
        <v>2</v>
      </c>
      <c r="G96" s="1" t="b">
        <v>0</v>
      </c>
      <c r="H96" s="1">
        <v>3</v>
      </c>
      <c r="I96" s="1">
        <v>1</v>
      </c>
      <c r="J96" s="1">
        <v>0.16</v>
      </c>
      <c r="K96" t="str">
        <f t="shared" si="3"/>
        <v>Weekday</v>
      </c>
      <c r="L96" t="str">
        <f t="shared" si="4"/>
        <v>Morning</v>
      </c>
      <c r="M96" t="str">
        <f t="shared" si="5"/>
        <v>Clear</v>
      </c>
      <c r="N96">
        <f>IFERROR(VLOOKUP(A96,Dataset2!A:Z,8,FALSE),"")</f>
        <v>2</v>
      </c>
    </row>
    <row r="97" spans="1:14" x14ac:dyDescent="0.25">
      <c r="A97" s="1">
        <v>96</v>
      </c>
      <c r="B97" s="2">
        <v>40548</v>
      </c>
      <c r="C97" s="1">
        <v>1</v>
      </c>
      <c r="D97" s="1">
        <v>0</v>
      </c>
      <c r="E97" s="1">
        <v>1</v>
      </c>
      <c r="F97" s="1">
        <v>4</v>
      </c>
      <c r="G97" s="1" t="b">
        <v>0</v>
      </c>
      <c r="H97" s="1">
        <v>3</v>
      </c>
      <c r="I97" s="1">
        <v>1</v>
      </c>
      <c r="J97" s="1">
        <v>0.24</v>
      </c>
      <c r="K97" t="str">
        <f t="shared" si="3"/>
        <v>Weekday</v>
      </c>
      <c r="L97" t="str">
        <f t="shared" si="4"/>
        <v>Morning</v>
      </c>
      <c r="M97" t="str">
        <f t="shared" si="5"/>
        <v>Clear</v>
      </c>
      <c r="N97">
        <f>IFERROR(VLOOKUP(A97,Dataset2!A:Z,8,FALSE),"")</f>
        <v>3</v>
      </c>
    </row>
    <row r="98" spans="1:14" x14ac:dyDescent="0.25">
      <c r="A98" s="1">
        <v>97</v>
      </c>
      <c r="B98" s="2">
        <v>40548</v>
      </c>
      <c r="C98" s="1">
        <v>1</v>
      </c>
      <c r="D98" s="1">
        <v>0</v>
      </c>
      <c r="E98" s="1">
        <v>1</v>
      </c>
      <c r="F98" s="1">
        <v>5</v>
      </c>
      <c r="G98" s="1" t="b">
        <v>0</v>
      </c>
      <c r="H98" s="1">
        <v>3</v>
      </c>
      <c r="I98" s="1">
        <v>1</v>
      </c>
      <c r="J98" s="1">
        <v>0.22</v>
      </c>
      <c r="K98" t="str">
        <f t="shared" si="3"/>
        <v>Weekday</v>
      </c>
      <c r="L98" t="str">
        <f t="shared" si="4"/>
        <v>Morning</v>
      </c>
      <c r="M98" t="str">
        <f t="shared" si="5"/>
        <v>Clear</v>
      </c>
      <c r="N98">
        <f>IFERROR(VLOOKUP(A98,Dataset2!A:Z,8,FALSE),"")</f>
        <v>33</v>
      </c>
    </row>
    <row r="99" spans="1:14" x14ac:dyDescent="0.25">
      <c r="A99" s="1">
        <v>98</v>
      </c>
      <c r="B99" s="2">
        <v>40548</v>
      </c>
      <c r="C99" s="1">
        <v>1</v>
      </c>
      <c r="D99" s="1">
        <v>0</v>
      </c>
      <c r="E99" s="1">
        <v>1</v>
      </c>
      <c r="F99" s="1">
        <v>6</v>
      </c>
      <c r="G99" s="1" t="b">
        <v>0</v>
      </c>
      <c r="H99" s="1">
        <v>3</v>
      </c>
      <c r="I99" s="1">
        <v>1</v>
      </c>
      <c r="J99" s="1">
        <v>0.2</v>
      </c>
      <c r="K99" t="str">
        <f t="shared" si="3"/>
        <v>Weekday</v>
      </c>
      <c r="L99" t="str">
        <f t="shared" si="4"/>
        <v>Morning</v>
      </c>
      <c r="M99" t="str">
        <f t="shared" si="5"/>
        <v>Clear</v>
      </c>
      <c r="N99">
        <f>IFERROR(VLOOKUP(A99,Dataset2!A:Z,8,FALSE),"")</f>
        <v>88</v>
      </c>
    </row>
    <row r="100" spans="1:14" x14ac:dyDescent="0.25">
      <c r="A100" s="1">
        <v>99</v>
      </c>
      <c r="B100" s="2">
        <v>40548</v>
      </c>
      <c r="C100" s="1">
        <v>1</v>
      </c>
      <c r="D100" s="1">
        <v>0</v>
      </c>
      <c r="E100" s="1">
        <v>1</v>
      </c>
      <c r="F100" s="1">
        <v>7</v>
      </c>
      <c r="G100" s="1" t="b">
        <v>0</v>
      </c>
      <c r="H100" s="1">
        <v>3</v>
      </c>
      <c r="I100" s="1">
        <v>1</v>
      </c>
      <c r="J100" s="1">
        <v>0.18</v>
      </c>
      <c r="K100" t="str">
        <f t="shared" si="3"/>
        <v>Weekday</v>
      </c>
      <c r="L100" t="str">
        <f t="shared" si="4"/>
        <v>Morning</v>
      </c>
      <c r="M100" t="str">
        <f t="shared" si="5"/>
        <v>Clear</v>
      </c>
      <c r="N100">
        <f>IFERROR(VLOOKUP(A100,Dataset2!A:Z,8,FALSE),"")</f>
        <v>195</v>
      </c>
    </row>
    <row r="101" spans="1:14" x14ac:dyDescent="0.25">
      <c r="A101" s="1">
        <v>100</v>
      </c>
      <c r="B101" s="2">
        <v>40548</v>
      </c>
      <c r="C101" s="1">
        <v>1</v>
      </c>
      <c r="D101" s="1">
        <v>0</v>
      </c>
      <c r="E101" s="1">
        <v>1</v>
      </c>
      <c r="F101" s="1">
        <v>8</v>
      </c>
      <c r="G101" s="1" t="b">
        <v>0</v>
      </c>
      <c r="H101" s="1">
        <v>3</v>
      </c>
      <c r="I101" s="1">
        <v>1</v>
      </c>
      <c r="J101" s="1">
        <v>0.2</v>
      </c>
      <c r="K101" t="str">
        <f t="shared" si="3"/>
        <v>Weekday</v>
      </c>
      <c r="L101" t="str">
        <f t="shared" si="4"/>
        <v>Morning</v>
      </c>
      <c r="M101" t="str">
        <f t="shared" si="5"/>
        <v>Clear</v>
      </c>
      <c r="N101">
        <f>IFERROR(VLOOKUP(A101,Dataset2!A:Z,8,FALSE),"")</f>
        <v>115</v>
      </c>
    </row>
    <row r="102" spans="1:14" x14ac:dyDescent="0.25">
      <c r="A102" s="1">
        <v>101</v>
      </c>
      <c r="B102" s="2">
        <v>40548</v>
      </c>
      <c r="C102" s="1">
        <v>1</v>
      </c>
      <c r="D102" s="1">
        <v>0</v>
      </c>
      <c r="E102" s="1">
        <v>1</v>
      </c>
      <c r="F102" s="1">
        <v>9</v>
      </c>
      <c r="G102" s="1" t="b">
        <v>0</v>
      </c>
      <c r="H102" s="1">
        <v>3</v>
      </c>
      <c r="I102" s="1">
        <v>1</v>
      </c>
      <c r="J102" s="1">
        <v>0.22</v>
      </c>
      <c r="K102" t="str">
        <f t="shared" si="3"/>
        <v>Weekday</v>
      </c>
      <c r="L102" t="str">
        <f t="shared" si="4"/>
        <v>Morning</v>
      </c>
      <c r="M102" t="str">
        <f t="shared" si="5"/>
        <v>Clear</v>
      </c>
      <c r="N102">
        <f>IFERROR(VLOOKUP(A102,Dataset2!A:Z,8,FALSE),"")</f>
        <v>57</v>
      </c>
    </row>
    <row r="103" spans="1:14" x14ac:dyDescent="0.25">
      <c r="A103" s="1">
        <v>102</v>
      </c>
      <c r="B103" s="2">
        <v>40548</v>
      </c>
      <c r="C103" s="1">
        <v>1</v>
      </c>
      <c r="D103" s="1">
        <v>0</v>
      </c>
      <c r="E103" s="1">
        <v>1</v>
      </c>
      <c r="F103" s="1">
        <v>10</v>
      </c>
      <c r="G103" s="1" t="b">
        <v>0</v>
      </c>
      <c r="H103" s="1">
        <v>3</v>
      </c>
      <c r="I103" s="1">
        <v>1</v>
      </c>
      <c r="J103" s="1">
        <v>0.22</v>
      </c>
      <c r="K103" t="str">
        <f t="shared" si="3"/>
        <v>Weekday</v>
      </c>
      <c r="L103" t="str">
        <f t="shared" si="4"/>
        <v>Morning</v>
      </c>
      <c r="M103" t="str">
        <f t="shared" si="5"/>
        <v>Clear</v>
      </c>
      <c r="N103">
        <f>IFERROR(VLOOKUP(A103,Dataset2!A:Z,8,FALSE),"")</f>
        <v>46</v>
      </c>
    </row>
    <row r="104" spans="1:14" x14ac:dyDescent="0.25">
      <c r="A104" s="1">
        <v>103</v>
      </c>
      <c r="B104" s="2">
        <v>40548</v>
      </c>
      <c r="C104" s="1">
        <v>1</v>
      </c>
      <c r="D104" s="1">
        <v>0</v>
      </c>
      <c r="E104" s="1">
        <v>1</v>
      </c>
      <c r="F104" s="1">
        <v>11</v>
      </c>
      <c r="G104" s="1" t="b">
        <v>0</v>
      </c>
      <c r="H104" s="1">
        <v>3</v>
      </c>
      <c r="I104" s="1">
        <v>1</v>
      </c>
      <c r="J104" s="1">
        <v>0.26</v>
      </c>
      <c r="K104" t="str">
        <f t="shared" si="3"/>
        <v>Weekday</v>
      </c>
      <c r="L104" t="str">
        <f t="shared" si="4"/>
        <v>Morning</v>
      </c>
      <c r="M104" t="str">
        <f t="shared" si="5"/>
        <v>Clear</v>
      </c>
      <c r="N104">
        <f>IFERROR(VLOOKUP(A104,Dataset2!A:Z,8,FALSE),"")</f>
        <v>79</v>
      </c>
    </row>
    <row r="105" spans="1:14" x14ac:dyDescent="0.25">
      <c r="A105" s="1">
        <v>104</v>
      </c>
      <c r="B105" s="2">
        <v>40548</v>
      </c>
      <c r="C105" s="1">
        <v>1</v>
      </c>
      <c r="D105" s="1">
        <v>0</v>
      </c>
      <c r="E105" s="1">
        <v>1</v>
      </c>
      <c r="F105" s="1">
        <v>12</v>
      </c>
      <c r="G105" s="1" t="b">
        <v>0</v>
      </c>
      <c r="H105" s="1">
        <v>3</v>
      </c>
      <c r="I105" s="1">
        <v>1</v>
      </c>
      <c r="J105" s="1">
        <v>0.26</v>
      </c>
      <c r="K105" t="str">
        <f t="shared" si="3"/>
        <v>Weekday</v>
      </c>
      <c r="L105" t="str">
        <f t="shared" si="4"/>
        <v>Afternoon</v>
      </c>
      <c r="M105" t="str">
        <f t="shared" si="5"/>
        <v>Clear</v>
      </c>
      <c r="N105">
        <f>IFERROR(VLOOKUP(A105,Dataset2!A:Z,8,FALSE),"")</f>
        <v>71</v>
      </c>
    </row>
    <row r="106" spans="1:14" x14ac:dyDescent="0.25">
      <c r="A106" s="1">
        <v>105</v>
      </c>
      <c r="B106" s="2">
        <v>40548</v>
      </c>
      <c r="C106" s="1">
        <v>1</v>
      </c>
      <c r="D106" s="1">
        <v>0</v>
      </c>
      <c r="E106" s="1">
        <v>1</v>
      </c>
      <c r="F106" s="1">
        <v>13</v>
      </c>
      <c r="G106" s="1" t="b">
        <v>0</v>
      </c>
      <c r="H106" s="1">
        <v>3</v>
      </c>
      <c r="I106" s="1">
        <v>1</v>
      </c>
      <c r="J106" s="1">
        <v>0.28000000000000003</v>
      </c>
      <c r="K106" t="str">
        <f t="shared" si="3"/>
        <v>Weekday</v>
      </c>
      <c r="L106" t="str">
        <f t="shared" si="4"/>
        <v>Afternoon</v>
      </c>
      <c r="M106" t="str">
        <f t="shared" si="5"/>
        <v>Clear</v>
      </c>
      <c r="N106">
        <f>IFERROR(VLOOKUP(A106,Dataset2!A:Z,8,FALSE),"")</f>
        <v>62</v>
      </c>
    </row>
    <row r="107" spans="1:14" x14ac:dyDescent="0.25">
      <c r="A107" s="1">
        <v>106</v>
      </c>
      <c r="B107" s="2">
        <v>40548</v>
      </c>
      <c r="C107" s="1">
        <v>1</v>
      </c>
      <c r="D107" s="1">
        <v>0</v>
      </c>
      <c r="E107" s="1">
        <v>1</v>
      </c>
      <c r="F107" s="1">
        <v>14</v>
      </c>
      <c r="G107" s="1" t="b">
        <v>0</v>
      </c>
      <c r="H107" s="1">
        <v>3</v>
      </c>
      <c r="I107" s="1">
        <v>1</v>
      </c>
      <c r="J107" s="1">
        <v>0.3</v>
      </c>
      <c r="K107" t="str">
        <f t="shared" si="3"/>
        <v>Weekday</v>
      </c>
      <c r="L107" t="str">
        <f t="shared" si="4"/>
        <v>Afternoon</v>
      </c>
      <c r="M107" t="str">
        <f t="shared" si="5"/>
        <v>Clear</v>
      </c>
      <c r="N107">
        <f>IFERROR(VLOOKUP(A107,Dataset2!A:Z,8,FALSE),"")</f>
        <v>62</v>
      </c>
    </row>
    <row r="108" spans="1:14" x14ac:dyDescent="0.25">
      <c r="A108" s="1">
        <v>107</v>
      </c>
      <c r="B108" s="2">
        <v>40548</v>
      </c>
      <c r="C108" s="1">
        <v>1</v>
      </c>
      <c r="D108" s="1">
        <v>0</v>
      </c>
      <c r="E108" s="1">
        <v>1</v>
      </c>
      <c r="F108" s="1">
        <v>15</v>
      </c>
      <c r="G108" s="1" t="b">
        <v>0</v>
      </c>
      <c r="H108" s="1">
        <v>3</v>
      </c>
      <c r="I108" s="1">
        <v>1</v>
      </c>
      <c r="J108" s="1">
        <v>0.3</v>
      </c>
      <c r="K108" t="str">
        <f t="shared" si="3"/>
        <v>Weekday</v>
      </c>
      <c r="L108" t="str">
        <f t="shared" si="4"/>
        <v>Afternoon</v>
      </c>
      <c r="M108" t="str">
        <f t="shared" si="5"/>
        <v>Clear</v>
      </c>
      <c r="N108">
        <f>IFERROR(VLOOKUP(A108,Dataset2!A:Z,8,FALSE),"")</f>
        <v>89</v>
      </c>
    </row>
    <row r="109" spans="1:14" x14ac:dyDescent="0.25">
      <c r="A109" s="1">
        <v>108</v>
      </c>
      <c r="B109" s="2">
        <v>40548</v>
      </c>
      <c r="C109" s="1">
        <v>1</v>
      </c>
      <c r="D109" s="1">
        <v>0</v>
      </c>
      <c r="E109" s="1">
        <v>1</v>
      </c>
      <c r="F109" s="1">
        <v>16</v>
      </c>
      <c r="G109" s="1" t="b">
        <v>0</v>
      </c>
      <c r="H109" s="1">
        <v>3</v>
      </c>
      <c r="I109" s="1">
        <v>1</v>
      </c>
      <c r="J109" s="1">
        <v>0.3</v>
      </c>
      <c r="K109" t="str">
        <f t="shared" si="3"/>
        <v>Weekday</v>
      </c>
      <c r="L109" t="str">
        <f t="shared" si="4"/>
        <v>Afternoon</v>
      </c>
      <c r="M109" t="str">
        <f t="shared" si="5"/>
        <v>Clear</v>
      </c>
      <c r="N109">
        <f>IFERROR(VLOOKUP(A109,Dataset2!A:Z,8,FALSE),"")</f>
        <v>190</v>
      </c>
    </row>
    <row r="110" spans="1:14" x14ac:dyDescent="0.25">
      <c r="A110" s="1">
        <v>109</v>
      </c>
      <c r="B110" s="2">
        <v>40548</v>
      </c>
      <c r="C110" s="1">
        <v>1</v>
      </c>
      <c r="D110" s="1">
        <v>0</v>
      </c>
      <c r="E110" s="1">
        <v>1</v>
      </c>
      <c r="F110" s="1">
        <v>17</v>
      </c>
      <c r="G110" s="1" t="b">
        <v>0</v>
      </c>
      <c r="H110" s="1">
        <v>3</v>
      </c>
      <c r="I110" s="1">
        <v>1</v>
      </c>
      <c r="J110" s="1">
        <v>0.24</v>
      </c>
      <c r="K110" t="str">
        <f t="shared" si="3"/>
        <v>Weekday</v>
      </c>
      <c r="L110" t="str">
        <f t="shared" si="4"/>
        <v>Afternoon</v>
      </c>
      <c r="M110" t="str">
        <f t="shared" si="5"/>
        <v>Clear</v>
      </c>
      <c r="N110">
        <f>IFERROR(VLOOKUP(A110,Dataset2!A:Z,8,FALSE),"")</f>
        <v>169</v>
      </c>
    </row>
    <row r="111" spans="1:14" x14ac:dyDescent="0.25">
      <c r="A111" s="1">
        <v>110</v>
      </c>
      <c r="B111" s="2">
        <v>40548</v>
      </c>
      <c r="C111" s="1">
        <v>1</v>
      </c>
      <c r="D111" s="1">
        <v>0</v>
      </c>
      <c r="E111" s="1">
        <v>1</v>
      </c>
      <c r="F111" s="1">
        <v>18</v>
      </c>
      <c r="G111" s="1" t="b">
        <v>0</v>
      </c>
      <c r="H111" s="1">
        <v>3</v>
      </c>
      <c r="I111" s="1">
        <v>1</v>
      </c>
      <c r="J111" s="1">
        <v>0.24</v>
      </c>
      <c r="K111" t="str">
        <f t="shared" si="3"/>
        <v>Weekday</v>
      </c>
      <c r="L111" t="str">
        <f t="shared" si="4"/>
        <v>Evening</v>
      </c>
      <c r="M111" t="str">
        <f t="shared" si="5"/>
        <v>Clear</v>
      </c>
      <c r="N111">
        <f>IFERROR(VLOOKUP(A111,Dataset2!A:Z,8,FALSE),"")</f>
        <v>132</v>
      </c>
    </row>
    <row r="112" spans="1:14" x14ac:dyDescent="0.25">
      <c r="A112" s="1">
        <v>111</v>
      </c>
      <c r="B112" s="2">
        <v>40548</v>
      </c>
      <c r="C112" s="1">
        <v>1</v>
      </c>
      <c r="D112" s="1">
        <v>0</v>
      </c>
      <c r="E112" s="1">
        <v>1</v>
      </c>
      <c r="F112" s="1">
        <v>19</v>
      </c>
      <c r="G112" s="1" t="b">
        <v>0</v>
      </c>
      <c r="H112" s="1">
        <v>3</v>
      </c>
      <c r="I112" s="1">
        <v>1</v>
      </c>
      <c r="J112" s="1">
        <v>0.24</v>
      </c>
      <c r="K112" t="str">
        <f t="shared" si="3"/>
        <v>Weekday</v>
      </c>
      <c r="L112" t="str">
        <f t="shared" si="4"/>
        <v>Evening</v>
      </c>
      <c r="M112" t="str">
        <f t="shared" si="5"/>
        <v>Clear</v>
      </c>
      <c r="N112">
        <f>IFERROR(VLOOKUP(A112,Dataset2!A:Z,8,FALSE),"")</f>
        <v>89</v>
      </c>
    </row>
    <row r="113" spans="1:14" x14ac:dyDescent="0.25">
      <c r="A113" s="1">
        <v>112</v>
      </c>
      <c r="B113" s="2">
        <v>40548</v>
      </c>
      <c r="C113" s="1">
        <v>1</v>
      </c>
      <c r="D113" s="1">
        <v>0</v>
      </c>
      <c r="E113" s="1">
        <v>1</v>
      </c>
      <c r="F113" s="1">
        <v>20</v>
      </c>
      <c r="G113" s="1" t="b">
        <v>0</v>
      </c>
      <c r="H113" s="1">
        <v>3</v>
      </c>
      <c r="I113" s="1">
        <v>1</v>
      </c>
      <c r="J113" s="1">
        <v>0.22</v>
      </c>
      <c r="K113" t="str">
        <f t="shared" si="3"/>
        <v>Weekday</v>
      </c>
      <c r="L113" t="str">
        <f t="shared" si="4"/>
        <v>Evening</v>
      </c>
      <c r="M113" t="str">
        <f t="shared" si="5"/>
        <v>Clear</v>
      </c>
      <c r="N113">
        <f>IFERROR(VLOOKUP(A113,Dataset2!A:Z,8,FALSE),"")</f>
        <v>43</v>
      </c>
    </row>
    <row r="114" spans="1:14" x14ac:dyDescent="0.25">
      <c r="A114" s="1">
        <v>113</v>
      </c>
      <c r="B114" s="2">
        <v>40548</v>
      </c>
      <c r="C114" s="1">
        <v>1</v>
      </c>
      <c r="D114" s="1">
        <v>0</v>
      </c>
      <c r="E114" s="1">
        <v>1</v>
      </c>
      <c r="F114" s="1">
        <v>21</v>
      </c>
      <c r="G114" s="1" t="b">
        <v>0</v>
      </c>
      <c r="H114" s="1">
        <v>3</v>
      </c>
      <c r="I114" s="1">
        <v>1</v>
      </c>
      <c r="J114" s="1">
        <v>0.2</v>
      </c>
      <c r="K114" t="str">
        <f t="shared" si="3"/>
        <v>Weekday</v>
      </c>
      <c r="L114" t="str">
        <f t="shared" si="4"/>
        <v>Evening</v>
      </c>
      <c r="M114" t="str">
        <f t="shared" si="5"/>
        <v>Clear</v>
      </c>
      <c r="N114">
        <f>IFERROR(VLOOKUP(A114,Dataset2!A:Z,8,FALSE),"")</f>
        <v>42</v>
      </c>
    </row>
    <row r="115" spans="1:14" x14ac:dyDescent="0.25">
      <c r="A115" s="1">
        <v>114</v>
      </c>
      <c r="B115" s="2">
        <v>40548</v>
      </c>
      <c r="C115" s="1">
        <v>1</v>
      </c>
      <c r="D115" s="1">
        <v>0</v>
      </c>
      <c r="E115" s="1">
        <v>1</v>
      </c>
      <c r="F115" s="1">
        <v>22</v>
      </c>
      <c r="G115" s="1" t="b">
        <v>0</v>
      </c>
      <c r="H115" s="1">
        <v>3</v>
      </c>
      <c r="I115" s="1">
        <v>1</v>
      </c>
      <c r="J115" s="1">
        <v>0.18</v>
      </c>
      <c r="K115" t="str">
        <f t="shared" si="3"/>
        <v>Weekday</v>
      </c>
      <c r="L115" t="str">
        <f t="shared" si="4"/>
        <v>Evening</v>
      </c>
      <c r="M115" t="str">
        <f t="shared" si="5"/>
        <v>Clear</v>
      </c>
      <c r="N115">
        <f>IFERROR(VLOOKUP(A115,Dataset2!A:Z,8,FALSE),"")</f>
        <v>19</v>
      </c>
    </row>
    <row r="116" spans="1:14" x14ac:dyDescent="0.25">
      <c r="A116" s="1">
        <v>115</v>
      </c>
      <c r="B116" s="2">
        <v>40548</v>
      </c>
      <c r="C116" s="1">
        <v>1</v>
      </c>
      <c r="D116" s="1">
        <v>0</v>
      </c>
      <c r="E116" s="1">
        <v>1</v>
      </c>
      <c r="F116" s="1">
        <v>23</v>
      </c>
      <c r="G116" s="1" t="b">
        <v>0</v>
      </c>
      <c r="H116" s="1">
        <v>3</v>
      </c>
      <c r="I116" s="1">
        <v>1</v>
      </c>
      <c r="J116" s="1">
        <v>0.2</v>
      </c>
      <c r="K116" t="str">
        <f t="shared" si="3"/>
        <v>Weekday</v>
      </c>
      <c r="L116" t="str">
        <f t="shared" si="4"/>
        <v>Evening</v>
      </c>
      <c r="M116" t="str">
        <f t="shared" si="5"/>
        <v>Clear</v>
      </c>
      <c r="N116">
        <f>IFERROR(VLOOKUP(A116,Dataset2!A:Z,8,FALSE),"")</f>
        <v>11</v>
      </c>
    </row>
    <row r="117" spans="1:14" x14ac:dyDescent="0.25">
      <c r="A117" s="1">
        <v>116</v>
      </c>
      <c r="B117" s="2">
        <v>40549</v>
      </c>
      <c r="C117" s="1">
        <v>1</v>
      </c>
      <c r="D117" s="1">
        <v>0</v>
      </c>
      <c r="E117" s="1">
        <v>1</v>
      </c>
      <c r="F117" s="1">
        <v>0</v>
      </c>
      <c r="G117" s="1" t="b">
        <v>0</v>
      </c>
      <c r="H117" s="1">
        <v>4</v>
      </c>
      <c r="I117" s="1">
        <v>1</v>
      </c>
      <c r="J117" s="1">
        <v>0.18</v>
      </c>
      <c r="K117" t="str">
        <f t="shared" si="3"/>
        <v>Weekday</v>
      </c>
      <c r="L117" t="str">
        <f t="shared" si="4"/>
        <v>Morning</v>
      </c>
      <c r="M117" t="str">
        <f t="shared" si="5"/>
        <v>Clear</v>
      </c>
      <c r="N117">
        <f>IFERROR(VLOOKUP(A117,Dataset2!A:Z,8,FALSE),"")</f>
        <v>4</v>
      </c>
    </row>
    <row r="118" spans="1:14" x14ac:dyDescent="0.25">
      <c r="A118" s="1">
        <v>117</v>
      </c>
      <c r="B118" s="2">
        <v>40549</v>
      </c>
      <c r="C118" s="1">
        <v>1</v>
      </c>
      <c r="D118" s="1">
        <v>0</v>
      </c>
      <c r="E118" s="1">
        <v>1</v>
      </c>
      <c r="F118" s="1">
        <v>1</v>
      </c>
      <c r="G118" s="1" t="b">
        <v>0</v>
      </c>
      <c r="H118" s="1">
        <v>4</v>
      </c>
      <c r="I118" s="1">
        <v>1</v>
      </c>
      <c r="J118" s="1">
        <v>0.16</v>
      </c>
      <c r="K118" t="str">
        <f t="shared" si="3"/>
        <v>Weekday</v>
      </c>
      <c r="L118" t="str">
        <f t="shared" si="4"/>
        <v>Morning</v>
      </c>
      <c r="M118" t="str">
        <f t="shared" si="5"/>
        <v>Clear</v>
      </c>
      <c r="N118">
        <f>IFERROR(VLOOKUP(A118,Dataset2!A:Z,8,FALSE),"")</f>
        <v>2</v>
      </c>
    </row>
    <row r="119" spans="1:14" x14ac:dyDescent="0.25">
      <c r="A119" s="1">
        <v>118</v>
      </c>
      <c r="B119" s="2">
        <v>40549</v>
      </c>
      <c r="C119" s="1">
        <v>1</v>
      </c>
      <c r="D119" s="1">
        <v>0</v>
      </c>
      <c r="E119" s="1">
        <v>1</v>
      </c>
      <c r="F119" s="1">
        <v>2</v>
      </c>
      <c r="G119" s="1" t="b">
        <v>0</v>
      </c>
      <c r="H119" s="1">
        <v>4</v>
      </c>
      <c r="I119" s="1">
        <v>1</v>
      </c>
      <c r="J119" s="1">
        <v>0.16</v>
      </c>
      <c r="K119" t="str">
        <f t="shared" si="3"/>
        <v>Weekday</v>
      </c>
      <c r="L119" t="str">
        <f t="shared" si="4"/>
        <v>Morning</v>
      </c>
      <c r="M119" t="str">
        <f t="shared" si="5"/>
        <v>Clear</v>
      </c>
      <c r="N119">
        <f>IFERROR(VLOOKUP(A119,Dataset2!A:Z,8,FALSE),"")</f>
        <v>1</v>
      </c>
    </row>
    <row r="120" spans="1:14" x14ac:dyDescent="0.25">
      <c r="A120" s="1">
        <v>119</v>
      </c>
      <c r="B120" s="2">
        <v>40549</v>
      </c>
      <c r="C120" s="1">
        <v>1</v>
      </c>
      <c r="D120" s="1">
        <v>0</v>
      </c>
      <c r="E120" s="1">
        <v>1</v>
      </c>
      <c r="F120" s="1">
        <v>4</v>
      </c>
      <c r="G120" s="1" t="b">
        <v>0</v>
      </c>
      <c r="H120" s="1">
        <v>4</v>
      </c>
      <c r="I120" s="1">
        <v>2</v>
      </c>
      <c r="J120" s="1">
        <v>0.16</v>
      </c>
      <c r="K120" t="str">
        <f t="shared" si="3"/>
        <v>Weekday</v>
      </c>
      <c r="L120" t="str">
        <f t="shared" si="4"/>
        <v>Morning</v>
      </c>
      <c r="M120" t="str">
        <f t="shared" si="5"/>
        <v>cloudy</v>
      </c>
      <c r="N120">
        <f>IFERROR(VLOOKUP(A120,Dataset2!A:Z,8,FALSE),"")</f>
        <v>4</v>
      </c>
    </row>
    <row r="121" spans="1:14" x14ac:dyDescent="0.25">
      <c r="A121" s="1">
        <v>120</v>
      </c>
      <c r="B121" s="2">
        <v>40549</v>
      </c>
      <c r="C121" s="1">
        <v>1</v>
      </c>
      <c r="D121" s="1">
        <v>0</v>
      </c>
      <c r="E121" s="1">
        <v>1</v>
      </c>
      <c r="F121" s="1">
        <v>5</v>
      </c>
      <c r="G121" s="1" t="b">
        <v>0</v>
      </c>
      <c r="H121" s="1">
        <v>4</v>
      </c>
      <c r="I121" s="1">
        <v>2</v>
      </c>
      <c r="J121" s="1">
        <v>0.14000000000000001</v>
      </c>
      <c r="K121" t="str">
        <f t="shared" si="3"/>
        <v>Weekday</v>
      </c>
      <c r="L121" t="str">
        <f t="shared" si="4"/>
        <v>Morning</v>
      </c>
      <c r="M121" t="str">
        <f t="shared" si="5"/>
        <v>cloudy</v>
      </c>
      <c r="N121">
        <f>IFERROR(VLOOKUP(A121,Dataset2!A:Z,8,FALSE),"")</f>
        <v>36</v>
      </c>
    </row>
    <row r="122" spans="1:14" x14ac:dyDescent="0.25">
      <c r="A122" s="1">
        <v>121</v>
      </c>
      <c r="B122" s="2">
        <v>40549</v>
      </c>
      <c r="C122" s="1">
        <v>1</v>
      </c>
      <c r="D122" s="1">
        <v>0</v>
      </c>
      <c r="E122" s="1">
        <v>1</v>
      </c>
      <c r="F122" s="1">
        <v>6</v>
      </c>
      <c r="G122" s="1" t="b">
        <v>0</v>
      </c>
      <c r="H122" s="1">
        <v>4</v>
      </c>
      <c r="I122" s="1">
        <v>2</v>
      </c>
      <c r="J122" s="1">
        <v>0.14000000000000001</v>
      </c>
      <c r="K122" t="str">
        <f t="shared" si="3"/>
        <v>Weekday</v>
      </c>
      <c r="L122" t="str">
        <f t="shared" si="4"/>
        <v>Morning</v>
      </c>
      <c r="M122" t="str">
        <f t="shared" si="5"/>
        <v>cloudy</v>
      </c>
      <c r="N122">
        <f>IFERROR(VLOOKUP(A122,Dataset2!A:Z,8,FALSE),"")</f>
        <v>95</v>
      </c>
    </row>
    <row r="123" spans="1:14" x14ac:dyDescent="0.25">
      <c r="A123" s="1">
        <v>122</v>
      </c>
      <c r="B123" s="2">
        <v>40549</v>
      </c>
      <c r="C123" s="1">
        <v>1</v>
      </c>
      <c r="D123" s="1">
        <v>0</v>
      </c>
      <c r="E123" s="1">
        <v>1</v>
      </c>
      <c r="F123" s="1">
        <v>7</v>
      </c>
      <c r="G123" s="1" t="b">
        <v>0</v>
      </c>
      <c r="H123" s="1">
        <v>4</v>
      </c>
      <c r="I123" s="1">
        <v>2</v>
      </c>
      <c r="J123" s="1">
        <v>0.16</v>
      </c>
      <c r="K123" t="str">
        <f t="shared" si="3"/>
        <v>Weekday</v>
      </c>
      <c r="L123" t="str">
        <f t="shared" si="4"/>
        <v>Morning</v>
      </c>
      <c r="M123" t="str">
        <f t="shared" si="5"/>
        <v>cloudy</v>
      </c>
      <c r="N123">
        <f>IFERROR(VLOOKUP(A123,Dataset2!A:Z,8,FALSE),"")</f>
        <v>219</v>
      </c>
    </row>
    <row r="124" spans="1:14" x14ac:dyDescent="0.25">
      <c r="A124" s="1">
        <v>123</v>
      </c>
      <c r="B124" s="2">
        <v>40549</v>
      </c>
      <c r="C124" s="1">
        <v>1</v>
      </c>
      <c r="D124" s="1">
        <v>0</v>
      </c>
      <c r="E124" s="1">
        <v>1</v>
      </c>
      <c r="F124" s="1">
        <v>8</v>
      </c>
      <c r="G124" s="1" t="b">
        <v>0</v>
      </c>
      <c r="H124" s="1">
        <v>4</v>
      </c>
      <c r="I124" s="1">
        <v>1</v>
      </c>
      <c r="J124" s="1">
        <v>0.16</v>
      </c>
      <c r="K124" t="str">
        <f t="shared" si="3"/>
        <v>Weekday</v>
      </c>
      <c r="L124" t="str">
        <f t="shared" si="4"/>
        <v>Morning</v>
      </c>
      <c r="M124" t="str">
        <f t="shared" si="5"/>
        <v>Clear</v>
      </c>
      <c r="N124">
        <f>IFERROR(VLOOKUP(A124,Dataset2!A:Z,8,FALSE),"")</f>
        <v>122</v>
      </c>
    </row>
    <row r="125" spans="1:14" x14ac:dyDescent="0.25">
      <c r="A125" s="1">
        <v>124</v>
      </c>
      <c r="B125" s="2">
        <v>40549</v>
      </c>
      <c r="C125" s="1">
        <v>1</v>
      </c>
      <c r="D125" s="1">
        <v>0</v>
      </c>
      <c r="E125" s="1">
        <v>1</v>
      </c>
      <c r="F125" s="1">
        <v>9</v>
      </c>
      <c r="G125" s="1" t="b">
        <v>0</v>
      </c>
      <c r="H125" s="1">
        <v>4</v>
      </c>
      <c r="I125" s="1">
        <v>2</v>
      </c>
      <c r="J125" s="1">
        <v>0.18</v>
      </c>
      <c r="K125" t="str">
        <f t="shared" si="3"/>
        <v>Weekday</v>
      </c>
      <c r="L125" t="str">
        <f t="shared" si="4"/>
        <v>Morning</v>
      </c>
      <c r="M125" t="str">
        <f t="shared" si="5"/>
        <v>cloudy</v>
      </c>
      <c r="N125">
        <f>IFERROR(VLOOKUP(A125,Dataset2!A:Z,8,FALSE),"")</f>
        <v>45</v>
      </c>
    </row>
    <row r="126" spans="1:14" x14ac:dyDescent="0.25">
      <c r="A126" s="1">
        <v>125</v>
      </c>
      <c r="B126" s="2">
        <v>40549</v>
      </c>
      <c r="C126" s="1">
        <v>1</v>
      </c>
      <c r="D126" s="1">
        <v>0</v>
      </c>
      <c r="E126" s="1">
        <v>1</v>
      </c>
      <c r="F126" s="1">
        <v>10</v>
      </c>
      <c r="G126" s="1" t="b">
        <v>0</v>
      </c>
      <c r="H126" s="1">
        <v>4</v>
      </c>
      <c r="I126" s="1">
        <v>1</v>
      </c>
      <c r="J126" s="1">
        <v>0.2</v>
      </c>
      <c r="K126" t="str">
        <f t="shared" si="3"/>
        <v>Weekday</v>
      </c>
      <c r="L126" t="str">
        <f t="shared" si="4"/>
        <v>Morning</v>
      </c>
      <c r="M126" t="str">
        <f t="shared" si="5"/>
        <v>Clear</v>
      </c>
      <c r="N126">
        <f>IFERROR(VLOOKUP(A126,Dataset2!A:Z,8,FALSE),"")</f>
        <v>59</v>
      </c>
    </row>
    <row r="127" spans="1:14" x14ac:dyDescent="0.25">
      <c r="A127" s="1">
        <v>126</v>
      </c>
      <c r="B127" s="2">
        <v>40549</v>
      </c>
      <c r="C127" s="1">
        <v>1</v>
      </c>
      <c r="D127" s="1">
        <v>0</v>
      </c>
      <c r="E127" s="1">
        <v>1</v>
      </c>
      <c r="F127" s="1">
        <v>11</v>
      </c>
      <c r="G127" s="1" t="b">
        <v>0</v>
      </c>
      <c r="H127" s="1">
        <v>4</v>
      </c>
      <c r="I127" s="1">
        <v>1</v>
      </c>
      <c r="J127" s="1">
        <v>0.22</v>
      </c>
      <c r="K127" t="str">
        <f t="shared" si="3"/>
        <v>Weekday</v>
      </c>
      <c r="L127" t="str">
        <f t="shared" si="4"/>
        <v>Morning</v>
      </c>
      <c r="M127" t="str">
        <f t="shared" si="5"/>
        <v>Clear</v>
      </c>
      <c r="N127">
        <f>IFERROR(VLOOKUP(A127,Dataset2!A:Z,8,FALSE),"")</f>
        <v>84</v>
      </c>
    </row>
    <row r="128" spans="1:14" x14ac:dyDescent="0.25">
      <c r="A128" s="1">
        <v>127</v>
      </c>
      <c r="B128" s="2">
        <v>40549</v>
      </c>
      <c r="C128" s="1">
        <v>1</v>
      </c>
      <c r="D128" s="1">
        <v>0</v>
      </c>
      <c r="E128" s="1">
        <v>1</v>
      </c>
      <c r="F128" s="1">
        <v>12</v>
      </c>
      <c r="G128" s="1" t="b">
        <v>0</v>
      </c>
      <c r="H128" s="1">
        <v>4</v>
      </c>
      <c r="I128" s="1">
        <v>1</v>
      </c>
      <c r="J128" s="1">
        <v>0.26</v>
      </c>
      <c r="K128" t="str">
        <f t="shared" si="3"/>
        <v>Weekday</v>
      </c>
      <c r="L128" t="str">
        <f t="shared" si="4"/>
        <v>Afternoon</v>
      </c>
      <c r="M128" t="str">
        <f t="shared" si="5"/>
        <v>Clear</v>
      </c>
      <c r="N128">
        <f>IFERROR(VLOOKUP(A128,Dataset2!A:Z,8,FALSE),"")</f>
        <v>67</v>
      </c>
    </row>
    <row r="129" spans="1:14" x14ac:dyDescent="0.25">
      <c r="A129" s="1">
        <v>128</v>
      </c>
      <c r="B129" s="2">
        <v>40549</v>
      </c>
      <c r="C129" s="1">
        <v>1</v>
      </c>
      <c r="D129" s="1">
        <v>0</v>
      </c>
      <c r="E129" s="1">
        <v>1</v>
      </c>
      <c r="F129" s="1">
        <v>13</v>
      </c>
      <c r="G129" s="1" t="b">
        <v>0</v>
      </c>
      <c r="H129" s="1">
        <v>4</v>
      </c>
      <c r="I129" s="1">
        <v>1</v>
      </c>
      <c r="J129" s="1">
        <v>0.26</v>
      </c>
      <c r="K129" t="str">
        <f t="shared" si="3"/>
        <v>Weekday</v>
      </c>
      <c r="L129" t="str">
        <f t="shared" si="4"/>
        <v>Afternoon</v>
      </c>
      <c r="M129" t="str">
        <f t="shared" si="5"/>
        <v>Clear</v>
      </c>
      <c r="N129">
        <f>IFERROR(VLOOKUP(A129,Dataset2!A:Z,8,FALSE),"")</f>
        <v>70</v>
      </c>
    </row>
    <row r="130" spans="1:14" x14ac:dyDescent="0.25">
      <c r="A130" s="1">
        <v>129</v>
      </c>
      <c r="B130" s="2">
        <v>40549</v>
      </c>
      <c r="C130" s="1">
        <v>1</v>
      </c>
      <c r="D130" s="1">
        <v>0</v>
      </c>
      <c r="E130" s="1">
        <v>1</v>
      </c>
      <c r="F130" s="1">
        <v>14</v>
      </c>
      <c r="G130" s="1" t="b">
        <v>0</v>
      </c>
      <c r="H130" s="1">
        <v>4</v>
      </c>
      <c r="I130" s="1">
        <v>1</v>
      </c>
      <c r="J130" s="1">
        <v>0.28000000000000003</v>
      </c>
      <c r="K130" t="str">
        <f t="shared" si="3"/>
        <v>Weekday</v>
      </c>
      <c r="L130" t="str">
        <f t="shared" si="4"/>
        <v>Afternoon</v>
      </c>
      <c r="M130" t="str">
        <f t="shared" si="5"/>
        <v>Clear</v>
      </c>
      <c r="N130">
        <f>IFERROR(VLOOKUP(A130,Dataset2!A:Z,8,FALSE),"")</f>
        <v>62</v>
      </c>
    </row>
    <row r="131" spans="1:14" x14ac:dyDescent="0.25">
      <c r="A131" s="1">
        <v>130</v>
      </c>
      <c r="B131" s="2">
        <v>40549</v>
      </c>
      <c r="C131" s="1">
        <v>1</v>
      </c>
      <c r="D131" s="1">
        <v>0</v>
      </c>
      <c r="E131" s="1">
        <v>1</v>
      </c>
      <c r="F131" s="1">
        <v>15</v>
      </c>
      <c r="G131" s="1" t="b">
        <v>0</v>
      </c>
      <c r="H131" s="1">
        <v>4</v>
      </c>
      <c r="I131" s="1">
        <v>1</v>
      </c>
      <c r="J131" s="1">
        <v>0.28000000000000003</v>
      </c>
      <c r="K131" t="str">
        <f t="shared" ref="K131:K194" si="6">IF(OR(H131=0,H131=6),"Weekend","Weekday")</f>
        <v>Weekday</v>
      </c>
      <c r="L131" t="str">
        <f t="shared" ref="L131:L194" si="7">IF(F131&lt;12,"Morning",IF(F131&lt;18,"Afternoon","Evening"))</f>
        <v>Afternoon</v>
      </c>
      <c r="M131" t="str">
        <f t="shared" ref="M131:M194" si="8">IF(I131=1,"Clear",IF(I131=2,"cloudy",IF(I131=3,"Rain","Heavy Rain")))</f>
        <v>Clear</v>
      </c>
      <c r="N131">
        <f>IFERROR(VLOOKUP(A131,Dataset2!A:Z,8,FALSE),"")</f>
        <v>86</v>
      </c>
    </row>
    <row r="132" spans="1:14" x14ac:dyDescent="0.25">
      <c r="A132" s="1">
        <v>131</v>
      </c>
      <c r="B132" s="2">
        <v>40549</v>
      </c>
      <c r="C132" s="1">
        <v>1</v>
      </c>
      <c r="D132" s="1">
        <v>0</v>
      </c>
      <c r="E132" s="1">
        <v>1</v>
      </c>
      <c r="F132" s="1">
        <v>16</v>
      </c>
      <c r="G132" s="1" t="b">
        <v>0</v>
      </c>
      <c r="H132" s="1">
        <v>4</v>
      </c>
      <c r="I132" s="1">
        <v>1</v>
      </c>
      <c r="J132" s="1">
        <v>0.26</v>
      </c>
      <c r="K132" t="str">
        <f t="shared" si="6"/>
        <v>Weekday</v>
      </c>
      <c r="L132" t="str">
        <f t="shared" si="7"/>
        <v>Afternoon</v>
      </c>
      <c r="M132" t="str">
        <f t="shared" si="8"/>
        <v>Clear</v>
      </c>
      <c r="N132">
        <f>IFERROR(VLOOKUP(A132,Dataset2!A:Z,8,FALSE),"")</f>
        <v>172</v>
      </c>
    </row>
    <row r="133" spans="1:14" x14ac:dyDescent="0.25">
      <c r="A133" s="1">
        <v>132</v>
      </c>
      <c r="B133" s="2">
        <v>40549</v>
      </c>
      <c r="C133" s="1">
        <v>1</v>
      </c>
      <c r="D133" s="1">
        <v>0</v>
      </c>
      <c r="E133" s="1">
        <v>1</v>
      </c>
      <c r="F133" s="1">
        <v>17</v>
      </c>
      <c r="G133" s="1" t="b">
        <v>0</v>
      </c>
      <c r="H133" s="1">
        <v>4</v>
      </c>
      <c r="I133" s="1">
        <v>1</v>
      </c>
      <c r="J133" s="1">
        <v>0.22</v>
      </c>
      <c r="K133" t="str">
        <f t="shared" si="6"/>
        <v>Weekday</v>
      </c>
      <c r="L133" t="str">
        <f t="shared" si="7"/>
        <v>Afternoon</v>
      </c>
      <c r="M133" t="str">
        <f t="shared" si="8"/>
        <v>Clear</v>
      </c>
      <c r="N133">
        <f>IFERROR(VLOOKUP(A133,Dataset2!A:Z,8,FALSE),"")</f>
        <v>163</v>
      </c>
    </row>
    <row r="134" spans="1:14" x14ac:dyDescent="0.25">
      <c r="A134" s="1">
        <v>133</v>
      </c>
      <c r="B134" s="2">
        <v>40549</v>
      </c>
      <c r="C134" s="1">
        <v>1</v>
      </c>
      <c r="D134" s="1">
        <v>0</v>
      </c>
      <c r="E134" s="1">
        <v>1</v>
      </c>
      <c r="F134" s="1">
        <v>18</v>
      </c>
      <c r="G134" s="1" t="b">
        <v>0</v>
      </c>
      <c r="H134" s="1">
        <v>4</v>
      </c>
      <c r="I134" s="1">
        <v>1</v>
      </c>
      <c r="J134" s="1">
        <v>0.22</v>
      </c>
      <c r="K134" t="str">
        <f t="shared" si="6"/>
        <v>Weekday</v>
      </c>
      <c r="L134" t="str">
        <f t="shared" si="7"/>
        <v>Evening</v>
      </c>
      <c r="M134" t="str">
        <f t="shared" si="8"/>
        <v>Clear</v>
      </c>
      <c r="N134">
        <f>IFERROR(VLOOKUP(A134,Dataset2!A:Z,8,FALSE),"")</f>
        <v>112</v>
      </c>
    </row>
    <row r="135" spans="1:14" x14ac:dyDescent="0.25">
      <c r="A135" s="1">
        <v>134</v>
      </c>
      <c r="B135" s="2">
        <v>40549</v>
      </c>
      <c r="C135" s="1">
        <v>1</v>
      </c>
      <c r="D135" s="1">
        <v>0</v>
      </c>
      <c r="E135" s="1">
        <v>1</v>
      </c>
      <c r="F135" s="1">
        <v>19</v>
      </c>
      <c r="G135" s="1" t="b">
        <v>0</v>
      </c>
      <c r="H135" s="1">
        <v>4</v>
      </c>
      <c r="I135" s="1">
        <v>1</v>
      </c>
      <c r="J135" s="1">
        <v>0.22</v>
      </c>
      <c r="K135" t="str">
        <f t="shared" si="6"/>
        <v>Weekday</v>
      </c>
      <c r="L135" t="str">
        <f t="shared" si="7"/>
        <v>Evening</v>
      </c>
      <c r="M135" t="str">
        <f t="shared" si="8"/>
        <v>Clear</v>
      </c>
      <c r="N135">
        <f>IFERROR(VLOOKUP(A135,Dataset2!A:Z,8,FALSE),"")</f>
        <v>69</v>
      </c>
    </row>
    <row r="136" spans="1:14" x14ac:dyDescent="0.25">
      <c r="A136" s="1">
        <v>135</v>
      </c>
      <c r="B136" s="2">
        <v>40549</v>
      </c>
      <c r="C136" s="1">
        <v>1</v>
      </c>
      <c r="D136" s="1">
        <v>0</v>
      </c>
      <c r="E136" s="1">
        <v>1</v>
      </c>
      <c r="F136" s="1">
        <v>20</v>
      </c>
      <c r="G136" s="1" t="b">
        <v>0</v>
      </c>
      <c r="H136" s="1">
        <v>4</v>
      </c>
      <c r="I136" s="1">
        <v>1</v>
      </c>
      <c r="J136" s="1">
        <v>0.2</v>
      </c>
      <c r="K136" t="str">
        <f t="shared" si="6"/>
        <v>Weekday</v>
      </c>
      <c r="L136" t="str">
        <f t="shared" si="7"/>
        <v>Evening</v>
      </c>
      <c r="M136" t="str">
        <f t="shared" si="8"/>
        <v>Clear</v>
      </c>
      <c r="N136">
        <f>IFERROR(VLOOKUP(A136,Dataset2!A:Z,8,FALSE),"")</f>
        <v>48</v>
      </c>
    </row>
    <row r="137" spans="1:14" x14ac:dyDescent="0.25">
      <c r="A137" s="1">
        <v>136</v>
      </c>
      <c r="B137" s="2">
        <v>40549</v>
      </c>
      <c r="C137" s="1">
        <v>1</v>
      </c>
      <c r="D137" s="1">
        <v>0</v>
      </c>
      <c r="E137" s="1">
        <v>1</v>
      </c>
      <c r="F137" s="1">
        <v>21</v>
      </c>
      <c r="G137" s="1" t="b">
        <v>0</v>
      </c>
      <c r="H137" s="1">
        <v>4</v>
      </c>
      <c r="I137" s="1">
        <v>2</v>
      </c>
      <c r="J137" s="1">
        <v>0.22</v>
      </c>
      <c r="K137" t="str">
        <f t="shared" si="6"/>
        <v>Weekday</v>
      </c>
      <c r="L137" t="str">
        <f t="shared" si="7"/>
        <v>Evening</v>
      </c>
      <c r="M137" t="str">
        <f t="shared" si="8"/>
        <v>cloudy</v>
      </c>
      <c r="N137">
        <f>IFERROR(VLOOKUP(A137,Dataset2!A:Z,8,FALSE),"")</f>
        <v>52</v>
      </c>
    </row>
    <row r="138" spans="1:14" x14ac:dyDescent="0.25">
      <c r="A138" s="1">
        <v>137</v>
      </c>
      <c r="B138" s="2">
        <v>40549</v>
      </c>
      <c r="C138" s="1">
        <v>1</v>
      </c>
      <c r="D138" s="1">
        <v>0</v>
      </c>
      <c r="E138" s="1">
        <v>1</v>
      </c>
      <c r="F138" s="1">
        <v>22</v>
      </c>
      <c r="G138" s="1" t="b">
        <v>0</v>
      </c>
      <c r="H138" s="1">
        <v>4</v>
      </c>
      <c r="I138" s="1">
        <v>2</v>
      </c>
      <c r="J138" s="1">
        <v>0.22</v>
      </c>
      <c r="K138" t="str">
        <f t="shared" si="6"/>
        <v>Weekday</v>
      </c>
      <c r="L138" t="str">
        <f t="shared" si="7"/>
        <v>Evening</v>
      </c>
      <c r="M138" t="str">
        <f t="shared" si="8"/>
        <v>cloudy</v>
      </c>
      <c r="N138">
        <f>IFERROR(VLOOKUP(A138,Dataset2!A:Z,8,FALSE),"")</f>
        <v>23</v>
      </c>
    </row>
    <row r="139" spans="1:14" x14ac:dyDescent="0.25">
      <c r="A139" s="1">
        <v>138</v>
      </c>
      <c r="B139" s="2">
        <v>40549</v>
      </c>
      <c r="C139" s="1">
        <v>1</v>
      </c>
      <c r="D139" s="1">
        <v>0</v>
      </c>
      <c r="E139" s="1">
        <v>1</v>
      </c>
      <c r="F139" s="1">
        <v>23</v>
      </c>
      <c r="G139" s="1" t="b">
        <v>0</v>
      </c>
      <c r="H139" s="1">
        <v>4</v>
      </c>
      <c r="I139" s="1">
        <v>2</v>
      </c>
      <c r="J139" s="1">
        <v>0.2</v>
      </c>
      <c r="K139" t="str">
        <f t="shared" si="6"/>
        <v>Weekday</v>
      </c>
      <c r="L139" t="str">
        <f t="shared" si="7"/>
        <v>Evening</v>
      </c>
      <c r="M139" t="str">
        <f t="shared" si="8"/>
        <v>cloudy</v>
      </c>
      <c r="N139">
        <f>IFERROR(VLOOKUP(A139,Dataset2!A:Z,8,FALSE),"")</f>
        <v>17</v>
      </c>
    </row>
    <row r="140" spans="1:14" x14ac:dyDescent="0.25">
      <c r="A140" s="1">
        <v>139</v>
      </c>
      <c r="B140" s="2">
        <v>40550</v>
      </c>
      <c r="C140" s="1">
        <v>1</v>
      </c>
      <c r="D140" s="1">
        <v>0</v>
      </c>
      <c r="E140" s="1">
        <v>1</v>
      </c>
      <c r="F140" s="1">
        <v>0</v>
      </c>
      <c r="G140" s="1" t="b">
        <v>0</v>
      </c>
      <c r="H140" s="1">
        <v>5</v>
      </c>
      <c r="I140" s="1">
        <v>2</v>
      </c>
      <c r="J140" s="1">
        <v>0.2</v>
      </c>
      <c r="K140" t="str">
        <f t="shared" si="6"/>
        <v>Weekday</v>
      </c>
      <c r="L140" t="str">
        <f t="shared" si="7"/>
        <v>Morning</v>
      </c>
      <c r="M140" t="str">
        <f t="shared" si="8"/>
        <v>cloudy</v>
      </c>
      <c r="N140">
        <f>IFERROR(VLOOKUP(A140,Dataset2!A:Z,8,FALSE),"")</f>
        <v>7</v>
      </c>
    </row>
    <row r="141" spans="1:14" x14ac:dyDescent="0.25">
      <c r="A141" s="1">
        <v>140</v>
      </c>
      <c r="B141" s="2">
        <v>40550</v>
      </c>
      <c r="C141" s="1">
        <v>1</v>
      </c>
      <c r="D141" s="1">
        <v>0</v>
      </c>
      <c r="E141" s="1">
        <v>1</v>
      </c>
      <c r="F141" s="1">
        <v>1</v>
      </c>
      <c r="G141" s="1" t="b">
        <v>0</v>
      </c>
      <c r="H141" s="1">
        <v>5</v>
      </c>
      <c r="I141" s="1">
        <v>2</v>
      </c>
      <c r="J141" s="1">
        <v>0.2</v>
      </c>
      <c r="K141" t="str">
        <f t="shared" si="6"/>
        <v>Weekday</v>
      </c>
      <c r="L141" t="str">
        <f t="shared" si="7"/>
        <v>Morning</v>
      </c>
      <c r="M141" t="str">
        <f t="shared" si="8"/>
        <v>cloudy</v>
      </c>
      <c r="N141">
        <f>IFERROR(VLOOKUP(A141,Dataset2!A:Z,8,FALSE),"")</f>
        <v>1</v>
      </c>
    </row>
    <row r="142" spans="1:14" x14ac:dyDescent="0.25">
      <c r="A142" s="1">
        <v>141</v>
      </c>
      <c r="B142" s="2">
        <v>40550</v>
      </c>
      <c r="C142" s="1">
        <v>1</v>
      </c>
      <c r="D142" s="1">
        <v>0</v>
      </c>
      <c r="E142" s="1">
        <v>1</v>
      </c>
      <c r="F142" s="1">
        <v>2</v>
      </c>
      <c r="G142" s="1" t="b">
        <v>0</v>
      </c>
      <c r="H142" s="1">
        <v>5</v>
      </c>
      <c r="I142" s="1">
        <v>2</v>
      </c>
      <c r="J142" s="1">
        <v>0.2</v>
      </c>
      <c r="K142" t="str">
        <f t="shared" si="6"/>
        <v>Weekday</v>
      </c>
      <c r="L142" t="str">
        <f t="shared" si="7"/>
        <v>Morning</v>
      </c>
      <c r="M142" t="str">
        <f t="shared" si="8"/>
        <v>cloudy</v>
      </c>
      <c r="N142">
        <f>IFERROR(VLOOKUP(A142,Dataset2!A:Z,8,FALSE),"")</f>
        <v>1</v>
      </c>
    </row>
    <row r="143" spans="1:14" x14ac:dyDescent="0.25">
      <c r="A143" s="1">
        <v>142</v>
      </c>
      <c r="B143" s="2">
        <v>40550</v>
      </c>
      <c r="C143" s="1">
        <v>1</v>
      </c>
      <c r="D143" s="1">
        <v>0</v>
      </c>
      <c r="E143" s="1">
        <v>1</v>
      </c>
      <c r="F143" s="1">
        <v>4</v>
      </c>
      <c r="G143" s="1" t="b">
        <v>0</v>
      </c>
      <c r="H143" s="1">
        <v>5</v>
      </c>
      <c r="I143" s="1">
        <v>2</v>
      </c>
      <c r="J143" s="1">
        <v>0.2</v>
      </c>
      <c r="K143" t="str">
        <f t="shared" si="6"/>
        <v>Weekday</v>
      </c>
      <c r="L143" t="str">
        <f t="shared" si="7"/>
        <v>Morning</v>
      </c>
      <c r="M143" t="str">
        <f t="shared" si="8"/>
        <v>cloudy</v>
      </c>
      <c r="N143">
        <f>IFERROR(VLOOKUP(A143,Dataset2!A:Z,8,FALSE),"")</f>
        <v>5</v>
      </c>
    </row>
    <row r="144" spans="1:14" x14ac:dyDescent="0.25">
      <c r="A144" s="1">
        <v>143</v>
      </c>
      <c r="B144" s="2">
        <v>40550</v>
      </c>
      <c r="C144" s="1">
        <v>1</v>
      </c>
      <c r="D144" s="1">
        <v>0</v>
      </c>
      <c r="E144" s="1">
        <v>1</v>
      </c>
      <c r="F144" s="1">
        <v>5</v>
      </c>
      <c r="G144" s="1" t="b">
        <v>0</v>
      </c>
      <c r="H144" s="1">
        <v>5</v>
      </c>
      <c r="I144" s="1">
        <v>3</v>
      </c>
      <c r="J144" s="1">
        <v>0.22</v>
      </c>
      <c r="K144" t="str">
        <f t="shared" si="6"/>
        <v>Weekday</v>
      </c>
      <c r="L144" t="str">
        <f t="shared" si="7"/>
        <v>Morning</v>
      </c>
      <c r="M144" t="str">
        <f t="shared" si="8"/>
        <v>Rain</v>
      </c>
      <c r="N144">
        <f>IFERROR(VLOOKUP(A144,Dataset2!A:Z,8,FALSE),"")</f>
        <v>34</v>
      </c>
    </row>
    <row r="145" spans="1:14" x14ac:dyDescent="0.25">
      <c r="A145" s="1">
        <v>144</v>
      </c>
      <c r="B145" s="2">
        <v>40550</v>
      </c>
      <c r="C145" s="1">
        <v>1</v>
      </c>
      <c r="D145" s="1">
        <v>0</v>
      </c>
      <c r="E145" s="1">
        <v>1</v>
      </c>
      <c r="F145" s="1">
        <v>6</v>
      </c>
      <c r="G145" s="1" t="b">
        <v>0</v>
      </c>
      <c r="H145" s="1">
        <v>5</v>
      </c>
      <c r="I145" s="1">
        <v>2</v>
      </c>
      <c r="J145" s="1">
        <v>0.2</v>
      </c>
      <c r="K145" t="str">
        <f t="shared" si="6"/>
        <v>Weekday</v>
      </c>
      <c r="L145" t="str">
        <f t="shared" si="7"/>
        <v>Morning</v>
      </c>
      <c r="M145" t="str">
        <f t="shared" si="8"/>
        <v>cloudy</v>
      </c>
      <c r="N145">
        <f>IFERROR(VLOOKUP(A145,Dataset2!A:Z,8,FALSE),"")</f>
        <v>84</v>
      </c>
    </row>
    <row r="146" spans="1:14" x14ac:dyDescent="0.25">
      <c r="A146" s="1">
        <v>145</v>
      </c>
      <c r="B146" s="2">
        <v>40550</v>
      </c>
      <c r="C146" s="1">
        <v>1</v>
      </c>
      <c r="D146" s="1">
        <v>0</v>
      </c>
      <c r="E146" s="1">
        <v>1</v>
      </c>
      <c r="F146" s="1">
        <v>7</v>
      </c>
      <c r="G146" s="1" t="b">
        <v>0</v>
      </c>
      <c r="H146" s="1">
        <v>5</v>
      </c>
      <c r="I146" s="1">
        <v>1</v>
      </c>
      <c r="J146" s="1">
        <v>0.2</v>
      </c>
      <c r="K146" t="str">
        <f t="shared" si="6"/>
        <v>Weekday</v>
      </c>
      <c r="L146" t="str">
        <f t="shared" si="7"/>
        <v>Morning</v>
      </c>
      <c r="M146" t="str">
        <f t="shared" si="8"/>
        <v>Clear</v>
      </c>
      <c r="N146">
        <f>IFERROR(VLOOKUP(A146,Dataset2!A:Z,8,FALSE),"")</f>
        <v>210</v>
      </c>
    </row>
    <row r="147" spans="1:14" x14ac:dyDescent="0.25">
      <c r="A147" s="1">
        <v>146</v>
      </c>
      <c r="B147" s="2">
        <v>40550</v>
      </c>
      <c r="C147" s="1">
        <v>1</v>
      </c>
      <c r="D147" s="1">
        <v>0</v>
      </c>
      <c r="E147" s="1">
        <v>1</v>
      </c>
      <c r="F147" s="1">
        <v>8</v>
      </c>
      <c r="G147" s="1" t="b">
        <v>0</v>
      </c>
      <c r="H147" s="1">
        <v>5</v>
      </c>
      <c r="I147" s="1">
        <v>1</v>
      </c>
      <c r="J147" s="1">
        <v>0.2</v>
      </c>
      <c r="K147" t="str">
        <f t="shared" si="6"/>
        <v>Weekday</v>
      </c>
      <c r="L147" t="str">
        <f t="shared" si="7"/>
        <v>Morning</v>
      </c>
      <c r="M147" t="str">
        <f t="shared" si="8"/>
        <v>Clear</v>
      </c>
      <c r="N147">
        <f>IFERROR(VLOOKUP(A147,Dataset2!A:Z,8,FALSE),"")</f>
        <v>134</v>
      </c>
    </row>
    <row r="148" spans="1:14" x14ac:dyDescent="0.25">
      <c r="A148" s="1">
        <v>147</v>
      </c>
      <c r="B148" s="2">
        <v>40550</v>
      </c>
      <c r="C148" s="1">
        <v>1</v>
      </c>
      <c r="D148" s="1">
        <v>0</v>
      </c>
      <c r="E148" s="1">
        <v>1</v>
      </c>
      <c r="F148" s="1">
        <v>9</v>
      </c>
      <c r="G148" s="1" t="b">
        <v>0</v>
      </c>
      <c r="H148" s="1">
        <v>5</v>
      </c>
      <c r="I148" s="1">
        <v>1</v>
      </c>
      <c r="J148" s="1">
        <v>0.2</v>
      </c>
      <c r="K148" t="str">
        <f t="shared" si="6"/>
        <v>Weekday</v>
      </c>
      <c r="L148" t="str">
        <f t="shared" si="7"/>
        <v>Morning</v>
      </c>
      <c r="M148" t="str">
        <f t="shared" si="8"/>
        <v>Clear</v>
      </c>
      <c r="N148">
        <f>IFERROR(VLOOKUP(A148,Dataset2!A:Z,8,FALSE),"")</f>
        <v>63</v>
      </c>
    </row>
    <row r="149" spans="1:14" x14ac:dyDescent="0.25">
      <c r="A149" s="1">
        <v>148</v>
      </c>
      <c r="B149" s="2">
        <v>40550</v>
      </c>
      <c r="C149" s="1">
        <v>1</v>
      </c>
      <c r="D149" s="1">
        <v>0</v>
      </c>
      <c r="E149" s="1">
        <v>1</v>
      </c>
      <c r="F149" s="1">
        <v>10</v>
      </c>
      <c r="G149" s="1" t="b">
        <v>0</v>
      </c>
      <c r="H149" s="1">
        <v>5</v>
      </c>
      <c r="I149" s="1">
        <v>1</v>
      </c>
      <c r="J149" s="1">
        <v>0.22</v>
      </c>
      <c r="K149" t="str">
        <f t="shared" si="6"/>
        <v>Weekday</v>
      </c>
      <c r="L149" t="str">
        <f t="shared" si="7"/>
        <v>Morning</v>
      </c>
      <c r="M149" t="str">
        <f t="shared" si="8"/>
        <v>Clear</v>
      </c>
      <c r="N149">
        <f>IFERROR(VLOOKUP(A149,Dataset2!A:Z,8,FALSE),"")</f>
        <v>67</v>
      </c>
    </row>
    <row r="150" spans="1:14" x14ac:dyDescent="0.25">
      <c r="A150" s="1">
        <v>149</v>
      </c>
      <c r="B150" s="2">
        <v>40550</v>
      </c>
      <c r="C150" s="1">
        <v>1</v>
      </c>
      <c r="D150" s="1">
        <v>0</v>
      </c>
      <c r="E150" s="1">
        <v>1</v>
      </c>
      <c r="F150" s="1">
        <v>11</v>
      </c>
      <c r="G150" s="1" t="b">
        <v>0</v>
      </c>
      <c r="H150" s="1">
        <v>5</v>
      </c>
      <c r="I150" s="1">
        <v>2</v>
      </c>
      <c r="J150" s="1">
        <v>0.2</v>
      </c>
      <c r="K150" t="str">
        <f t="shared" si="6"/>
        <v>Weekday</v>
      </c>
      <c r="L150" t="str">
        <f t="shared" si="7"/>
        <v>Morning</v>
      </c>
      <c r="M150" t="str">
        <f t="shared" si="8"/>
        <v>cloudy</v>
      </c>
      <c r="N150">
        <f>IFERROR(VLOOKUP(A150,Dataset2!A:Z,8,FALSE),"")</f>
        <v>59</v>
      </c>
    </row>
    <row r="151" spans="1:14" x14ac:dyDescent="0.25">
      <c r="A151" s="1">
        <v>150</v>
      </c>
      <c r="B151" s="2">
        <v>40550</v>
      </c>
      <c r="C151" s="1">
        <v>1</v>
      </c>
      <c r="D151" s="1">
        <v>0</v>
      </c>
      <c r="E151" s="1">
        <v>1</v>
      </c>
      <c r="F151" s="1">
        <v>12</v>
      </c>
      <c r="G151" s="1" t="b">
        <v>0</v>
      </c>
      <c r="H151" s="1">
        <v>5</v>
      </c>
      <c r="I151" s="1">
        <v>2</v>
      </c>
      <c r="J151" s="1">
        <v>0.2</v>
      </c>
      <c r="K151" t="str">
        <f t="shared" si="6"/>
        <v>Weekday</v>
      </c>
      <c r="L151" t="str">
        <f t="shared" si="7"/>
        <v>Afternoon</v>
      </c>
      <c r="M151" t="str">
        <f t="shared" si="8"/>
        <v>cloudy</v>
      </c>
      <c r="N151">
        <f>IFERROR(VLOOKUP(A151,Dataset2!A:Z,8,FALSE),"")</f>
        <v>73</v>
      </c>
    </row>
    <row r="152" spans="1:14" x14ac:dyDescent="0.25">
      <c r="A152" s="1">
        <v>151</v>
      </c>
      <c r="B152" s="2">
        <v>40550</v>
      </c>
      <c r="C152" s="1">
        <v>1</v>
      </c>
      <c r="D152" s="1">
        <v>0</v>
      </c>
      <c r="E152" s="1">
        <v>1</v>
      </c>
      <c r="F152" s="1">
        <v>13</v>
      </c>
      <c r="G152" s="1" t="b">
        <v>0</v>
      </c>
      <c r="H152" s="1">
        <v>5</v>
      </c>
      <c r="I152" s="1">
        <v>2</v>
      </c>
      <c r="J152" s="1">
        <v>0.2</v>
      </c>
      <c r="K152" t="str">
        <f t="shared" si="6"/>
        <v>Weekday</v>
      </c>
      <c r="L152" t="str">
        <f t="shared" si="7"/>
        <v>Afternoon</v>
      </c>
      <c r="M152" t="str">
        <f t="shared" si="8"/>
        <v>cloudy</v>
      </c>
      <c r="N152">
        <f>IFERROR(VLOOKUP(A152,Dataset2!A:Z,8,FALSE),"")</f>
        <v>50</v>
      </c>
    </row>
    <row r="153" spans="1:14" x14ac:dyDescent="0.25">
      <c r="A153" s="1">
        <v>152</v>
      </c>
      <c r="B153" s="2">
        <v>40550</v>
      </c>
      <c r="C153" s="1">
        <v>1</v>
      </c>
      <c r="D153" s="1">
        <v>0</v>
      </c>
      <c r="E153" s="1">
        <v>1</v>
      </c>
      <c r="F153" s="1">
        <v>14</v>
      </c>
      <c r="G153" s="1" t="b">
        <v>0</v>
      </c>
      <c r="H153" s="1">
        <v>5</v>
      </c>
      <c r="I153" s="1">
        <v>2</v>
      </c>
      <c r="J153" s="1">
        <v>0.2</v>
      </c>
      <c r="K153" t="str">
        <f t="shared" si="6"/>
        <v>Weekday</v>
      </c>
      <c r="L153" t="str">
        <f t="shared" si="7"/>
        <v>Afternoon</v>
      </c>
      <c r="M153" t="str">
        <f t="shared" si="8"/>
        <v>cloudy</v>
      </c>
      <c r="N153">
        <f>IFERROR(VLOOKUP(A153,Dataset2!A:Z,8,FALSE),"")</f>
        <v>72</v>
      </c>
    </row>
    <row r="154" spans="1:14" x14ac:dyDescent="0.25">
      <c r="A154" s="1">
        <v>153</v>
      </c>
      <c r="B154" s="2">
        <v>40550</v>
      </c>
      <c r="C154" s="1">
        <v>1</v>
      </c>
      <c r="D154" s="1">
        <v>0</v>
      </c>
      <c r="E154" s="1">
        <v>1</v>
      </c>
      <c r="F154" s="1">
        <v>15</v>
      </c>
      <c r="G154" s="1" t="b">
        <v>0</v>
      </c>
      <c r="H154" s="1">
        <v>5</v>
      </c>
      <c r="I154" s="1">
        <v>2</v>
      </c>
      <c r="J154" s="1">
        <v>0.2</v>
      </c>
      <c r="K154" t="str">
        <f t="shared" si="6"/>
        <v>Weekday</v>
      </c>
      <c r="L154" t="str">
        <f t="shared" si="7"/>
        <v>Afternoon</v>
      </c>
      <c r="M154" t="str">
        <f t="shared" si="8"/>
        <v>cloudy</v>
      </c>
      <c r="N154">
        <f>IFERROR(VLOOKUP(A154,Dataset2!A:Z,8,FALSE),"")</f>
        <v>87</v>
      </c>
    </row>
    <row r="155" spans="1:14" x14ac:dyDescent="0.25">
      <c r="A155" s="1">
        <v>154</v>
      </c>
      <c r="B155" s="2">
        <v>40550</v>
      </c>
      <c r="C155" s="1">
        <v>1</v>
      </c>
      <c r="D155" s="1">
        <v>0</v>
      </c>
      <c r="E155" s="1">
        <v>1</v>
      </c>
      <c r="F155" s="1">
        <v>16</v>
      </c>
      <c r="G155" s="1" t="b">
        <v>0</v>
      </c>
      <c r="H155" s="1">
        <v>5</v>
      </c>
      <c r="I155" s="1">
        <v>2</v>
      </c>
      <c r="J155" s="1">
        <v>0.2</v>
      </c>
      <c r="K155" t="str">
        <f t="shared" si="6"/>
        <v>Weekday</v>
      </c>
      <c r="L155" t="str">
        <f t="shared" si="7"/>
        <v>Afternoon</v>
      </c>
      <c r="M155" t="str">
        <f t="shared" si="8"/>
        <v>cloudy</v>
      </c>
      <c r="N155">
        <f>IFERROR(VLOOKUP(A155,Dataset2!A:Z,8,FALSE),"")</f>
        <v>187</v>
      </c>
    </row>
    <row r="156" spans="1:14" x14ac:dyDescent="0.25">
      <c r="A156" s="1">
        <v>155</v>
      </c>
      <c r="B156" s="2">
        <v>40550</v>
      </c>
      <c r="C156" s="1">
        <v>1</v>
      </c>
      <c r="D156" s="1">
        <v>0</v>
      </c>
      <c r="E156" s="1">
        <v>1</v>
      </c>
      <c r="F156" s="1">
        <v>17</v>
      </c>
      <c r="G156" s="1" t="b">
        <v>0</v>
      </c>
      <c r="H156" s="1">
        <v>5</v>
      </c>
      <c r="I156" s="1">
        <v>2</v>
      </c>
      <c r="J156" s="1">
        <v>0.2</v>
      </c>
      <c r="K156" t="str">
        <f t="shared" si="6"/>
        <v>Weekday</v>
      </c>
      <c r="L156" t="str">
        <f t="shared" si="7"/>
        <v>Afternoon</v>
      </c>
      <c r="M156" t="str">
        <f t="shared" si="8"/>
        <v>cloudy</v>
      </c>
      <c r="N156">
        <f>IFERROR(VLOOKUP(A156,Dataset2!A:Z,8,FALSE),"")</f>
        <v>123</v>
      </c>
    </row>
    <row r="157" spans="1:14" x14ac:dyDescent="0.25">
      <c r="A157" s="1">
        <v>156</v>
      </c>
      <c r="B157" s="2">
        <v>40550</v>
      </c>
      <c r="C157" s="1">
        <v>1</v>
      </c>
      <c r="D157" s="1">
        <v>0</v>
      </c>
      <c r="E157" s="1">
        <v>1</v>
      </c>
      <c r="F157" s="1">
        <v>18</v>
      </c>
      <c r="G157" s="1" t="b">
        <v>0</v>
      </c>
      <c r="H157" s="1">
        <v>5</v>
      </c>
      <c r="I157" s="1">
        <v>1</v>
      </c>
      <c r="J157" s="1">
        <v>0.2</v>
      </c>
      <c r="K157" t="str">
        <f t="shared" si="6"/>
        <v>Weekday</v>
      </c>
      <c r="L157" t="str">
        <f t="shared" si="7"/>
        <v>Evening</v>
      </c>
      <c r="M157" t="str">
        <f t="shared" si="8"/>
        <v>Clear</v>
      </c>
      <c r="N157">
        <f>IFERROR(VLOOKUP(A157,Dataset2!A:Z,8,FALSE),"")</f>
        <v>95</v>
      </c>
    </row>
    <row r="158" spans="1:14" x14ac:dyDescent="0.25">
      <c r="A158" s="1">
        <v>157</v>
      </c>
      <c r="B158" s="2">
        <v>40550</v>
      </c>
      <c r="C158" s="1">
        <v>1</v>
      </c>
      <c r="D158" s="1">
        <v>0</v>
      </c>
      <c r="E158" s="1">
        <v>1</v>
      </c>
      <c r="F158" s="1">
        <v>19</v>
      </c>
      <c r="G158" s="1" t="b">
        <v>0</v>
      </c>
      <c r="H158" s="1">
        <v>5</v>
      </c>
      <c r="I158" s="1">
        <v>1</v>
      </c>
      <c r="J158" s="1">
        <v>0.16</v>
      </c>
      <c r="K158" t="str">
        <f t="shared" si="6"/>
        <v>Weekday</v>
      </c>
      <c r="L158" t="str">
        <f t="shared" si="7"/>
        <v>Evening</v>
      </c>
      <c r="M158" t="str">
        <f t="shared" si="8"/>
        <v>Clear</v>
      </c>
      <c r="N158">
        <f>IFERROR(VLOOKUP(A158,Dataset2!A:Z,8,FALSE),"")</f>
        <v>51</v>
      </c>
    </row>
    <row r="159" spans="1:14" x14ac:dyDescent="0.25">
      <c r="A159" s="1">
        <v>158</v>
      </c>
      <c r="B159" s="2">
        <v>40550</v>
      </c>
      <c r="C159" s="1">
        <v>1</v>
      </c>
      <c r="D159" s="1">
        <v>0</v>
      </c>
      <c r="E159" s="1">
        <v>1</v>
      </c>
      <c r="F159" s="1">
        <v>20</v>
      </c>
      <c r="G159" s="1" t="b">
        <v>0</v>
      </c>
      <c r="H159" s="1">
        <v>5</v>
      </c>
      <c r="I159" s="1">
        <v>1</v>
      </c>
      <c r="J159" s="1">
        <v>0.18</v>
      </c>
      <c r="K159" t="str">
        <f t="shared" si="6"/>
        <v>Weekday</v>
      </c>
      <c r="L159" t="str">
        <f t="shared" si="7"/>
        <v>Evening</v>
      </c>
      <c r="M159" t="str">
        <f t="shared" si="8"/>
        <v>Clear</v>
      </c>
      <c r="N159">
        <f>IFERROR(VLOOKUP(A159,Dataset2!A:Z,8,FALSE),"")</f>
        <v>39</v>
      </c>
    </row>
    <row r="160" spans="1:14" x14ac:dyDescent="0.25">
      <c r="A160" s="1">
        <v>159</v>
      </c>
      <c r="B160" s="2">
        <v>40550</v>
      </c>
      <c r="C160" s="1">
        <v>1</v>
      </c>
      <c r="D160" s="1">
        <v>0</v>
      </c>
      <c r="E160" s="1">
        <v>1</v>
      </c>
      <c r="F160" s="1">
        <v>21</v>
      </c>
      <c r="G160" s="1" t="b">
        <v>0</v>
      </c>
      <c r="H160" s="1">
        <v>5</v>
      </c>
      <c r="I160" s="1">
        <v>1</v>
      </c>
      <c r="J160" s="1">
        <v>0.18</v>
      </c>
      <c r="K160" t="str">
        <f t="shared" si="6"/>
        <v>Weekday</v>
      </c>
      <c r="L160" t="str">
        <f t="shared" si="7"/>
        <v>Evening</v>
      </c>
      <c r="M160" t="str">
        <f t="shared" si="8"/>
        <v>Clear</v>
      </c>
      <c r="N160">
        <f>IFERROR(VLOOKUP(A160,Dataset2!A:Z,8,FALSE),"")</f>
        <v>36</v>
      </c>
    </row>
    <row r="161" spans="1:14" x14ac:dyDescent="0.25">
      <c r="A161" s="1">
        <v>160</v>
      </c>
      <c r="B161" s="2">
        <v>40550</v>
      </c>
      <c r="C161" s="1">
        <v>1</v>
      </c>
      <c r="D161" s="1">
        <v>0</v>
      </c>
      <c r="E161" s="1">
        <v>1</v>
      </c>
      <c r="F161" s="1">
        <v>22</v>
      </c>
      <c r="G161" s="1" t="b">
        <v>0</v>
      </c>
      <c r="H161" s="1">
        <v>5</v>
      </c>
      <c r="I161" s="1">
        <v>2</v>
      </c>
      <c r="J161" s="1">
        <v>0.18</v>
      </c>
      <c r="K161" t="str">
        <f t="shared" si="6"/>
        <v>Weekday</v>
      </c>
      <c r="L161" t="str">
        <f t="shared" si="7"/>
        <v>Evening</v>
      </c>
      <c r="M161" t="str">
        <f t="shared" si="8"/>
        <v>cloudy</v>
      </c>
      <c r="N161">
        <f>IFERROR(VLOOKUP(A161,Dataset2!A:Z,8,FALSE),"")</f>
        <v>15</v>
      </c>
    </row>
    <row r="162" spans="1:14" x14ac:dyDescent="0.25">
      <c r="A162" s="1">
        <v>161</v>
      </c>
      <c r="B162" s="2">
        <v>40550</v>
      </c>
      <c r="C162" s="1">
        <v>1</v>
      </c>
      <c r="D162" s="1">
        <v>0</v>
      </c>
      <c r="E162" s="1">
        <v>1</v>
      </c>
      <c r="F162" s="1">
        <v>23</v>
      </c>
      <c r="G162" s="1" t="b">
        <v>0</v>
      </c>
      <c r="H162" s="1">
        <v>5</v>
      </c>
      <c r="I162" s="1">
        <v>2</v>
      </c>
      <c r="J162" s="1">
        <v>0.18</v>
      </c>
      <c r="K162" t="str">
        <f t="shared" si="6"/>
        <v>Weekday</v>
      </c>
      <c r="L162" t="str">
        <f t="shared" si="7"/>
        <v>Evening</v>
      </c>
      <c r="M162" t="str">
        <f t="shared" si="8"/>
        <v>cloudy</v>
      </c>
      <c r="N162">
        <f>IFERROR(VLOOKUP(A162,Dataset2!A:Z,8,FALSE),"")</f>
        <v>25</v>
      </c>
    </row>
    <row r="163" spans="1:14" x14ac:dyDescent="0.25">
      <c r="A163" s="1">
        <v>162</v>
      </c>
      <c r="B163" s="2">
        <v>40551</v>
      </c>
      <c r="C163" s="1">
        <v>1</v>
      </c>
      <c r="D163" s="1">
        <v>0</v>
      </c>
      <c r="E163" s="1">
        <v>1</v>
      </c>
      <c r="F163" s="1">
        <v>0</v>
      </c>
      <c r="G163" s="1" t="b">
        <v>0</v>
      </c>
      <c r="H163" s="1">
        <v>6</v>
      </c>
      <c r="I163" s="1">
        <v>2</v>
      </c>
      <c r="J163" s="1">
        <v>0.18</v>
      </c>
      <c r="K163" t="str">
        <f t="shared" si="6"/>
        <v>Weekend</v>
      </c>
      <c r="L163" t="str">
        <f t="shared" si="7"/>
        <v>Morning</v>
      </c>
      <c r="M163" t="str">
        <f t="shared" si="8"/>
        <v>cloudy</v>
      </c>
      <c r="N163">
        <f>IFERROR(VLOOKUP(A163,Dataset2!A:Z,8,FALSE),"")</f>
        <v>16</v>
      </c>
    </row>
    <row r="164" spans="1:14" x14ac:dyDescent="0.25">
      <c r="A164" s="1">
        <v>163</v>
      </c>
      <c r="B164" s="2">
        <v>40551</v>
      </c>
      <c r="C164" s="1">
        <v>1</v>
      </c>
      <c r="D164" s="1">
        <v>0</v>
      </c>
      <c r="E164" s="1">
        <v>1</v>
      </c>
      <c r="F164" s="1">
        <v>1</v>
      </c>
      <c r="G164" s="1" t="b">
        <v>0</v>
      </c>
      <c r="H164" s="1">
        <v>6</v>
      </c>
      <c r="I164" s="1">
        <v>2</v>
      </c>
      <c r="J164" s="1">
        <v>0.18</v>
      </c>
      <c r="K164" t="str">
        <f t="shared" si="6"/>
        <v>Weekend</v>
      </c>
      <c r="L164" t="str">
        <f t="shared" si="7"/>
        <v>Morning</v>
      </c>
      <c r="M164" t="str">
        <f t="shared" si="8"/>
        <v>cloudy</v>
      </c>
      <c r="N164">
        <f>IFERROR(VLOOKUP(A164,Dataset2!A:Z,8,FALSE),"")</f>
        <v>16</v>
      </c>
    </row>
    <row r="165" spans="1:14" x14ac:dyDescent="0.25">
      <c r="A165" s="1">
        <v>164</v>
      </c>
      <c r="B165" s="2">
        <v>40551</v>
      </c>
      <c r="C165" s="1">
        <v>1</v>
      </c>
      <c r="D165" s="1">
        <v>0</v>
      </c>
      <c r="E165" s="1">
        <v>1</v>
      </c>
      <c r="F165" s="1">
        <v>2</v>
      </c>
      <c r="G165" s="1" t="b">
        <v>0</v>
      </c>
      <c r="H165" s="1">
        <v>6</v>
      </c>
      <c r="I165" s="1">
        <v>2</v>
      </c>
      <c r="J165" s="1">
        <v>0.18</v>
      </c>
      <c r="K165" t="str">
        <f t="shared" si="6"/>
        <v>Weekend</v>
      </c>
      <c r="L165" t="str">
        <f t="shared" si="7"/>
        <v>Morning</v>
      </c>
      <c r="M165" t="str">
        <f t="shared" si="8"/>
        <v>cloudy</v>
      </c>
      <c r="N165">
        <f>IFERROR(VLOOKUP(A165,Dataset2!A:Z,8,FALSE),"")</f>
        <v>7</v>
      </c>
    </row>
    <row r="166" spans="1:14" x14ac:dyDescent="0.25">
      <c r="A166" s="1">
        <v>165</v>
      </c>
      <c r="B166" s="2">
        <v>40551</v>
      </c>
      <c r="C166" s="1">
        <v>1</v>
      </c>
      <c r="D166" s="1">
        <v>0</v>
      </c>
      <c r="E166" s="1">
        <v>1</v>
      </c>
      <c r="F166" s="1">
        <v>3</v>
      </c>
      <c r="G166" s="1" t="b">
        <v>0</v>
      </c>
      <c r="H166" s="1">
        <v>6</v>
      </c>
      <c r="I166" s="1">
        <v>3</v>
      </c>
      <c r="J166" s="1">
        <v>0.18</v>
      </c>
      <c r="K166" t="str">
        <f t="shared" si="6"/>
        <v>Weekend</v>
      </c>
      <c r="L166" t="str">
        <f t="shared" si="7"/>
        <v>Morning</v>
      </c>
      <c r="M166" t="str">
        <f t="shared" si="8"/>
        <v>Rain</v>
      </c>
      <c r="N166">
        <f>IFERROR(VLOOKUP(A166,Dataset2!A:Z,8,FALSE),"")</f>
        <v>1</v>
      </c>
    </row>
    <row r="167" spans="1:14" x14ac:dyDescent="0.25">
      <c r="A167" s="1">
        <v>166</v>
      </c>
      <c r="B167" s="2">
        <v>40551</v>
      </c>
      <c r="C167" s="1">
        <v>1</v>
      </c>
      <c r="D167" s="1">
        <v>0</v>
      </c>
      <c r="E167" s="1">
        <v>1</v>
      </c>
      <c r="F167" s="1">
        <v>4</v>
      </c>
      <c r="G167" s="1" t="b">
        <v>0</v>
      </c>
      <c r="H167" s="1">
        <v>6</v>
      </c>
      <c r="I167" s="1">
        <v>3</v>
      </c>
      <c r="J167" s="1">
        <v>0.18</v>
      </c>
      <c r="K167" t="str">
        <f t="shared" si="6"/>
        <v>Weekend</v>
      </c>
      <c r="L167" t="str">
        <f t="shared" si="7"/>
        <v>Morning</v>
      </c>
      <c r="M167" t="str">
        <f t="shared" si="8"/>
        <v>Rain</v>
      </c>
      <c r="N167">
        <f>IFERROR(VLOOKUP(A167,Dataset2!A:Z,8,FALSE),"")</f>
        <v>5</v>
      </c>
    </row>
    <row r="168" spans="1:14" x14ac:dyDescent="0.25">
      <c r="A168" s="1">
        <v>167</v>
      </c>
      <c r="B168" s="2">
        <v>40551</v>
      </c>
      <c r="C168" s="1">
        <v>1</v>
      </c>
      <c r="D168" s="1">
        <v>0</v>
      </c>
      <c r="E168" s="1">
        <v>1</v>
      </c>
      <c r="F168" s="1">
        <v>5</v>
      </c>
      <c r="G168" s="1" t="b">
        <v>0</v>
      </c>
      <c r="H168" s="1">
        <v>6</v>
      </c>
      <c r="I168" s="1">
        <v>2</v>
      </c>
      <c r="J168" s="1">
        <v>0.16</v>
      </c>
      <c r="K168" t="str">
        <f t="shared" si="6"/>
        <v>Weekend</v>
      </c>
      <c r="L168" t="str">
        <f t="shared" si="7"/>
        <v>Morning</v>
      </c>
      <c r="M168" t="str">
        <f t="shared" si="8"/>
        <v>cloudy</v>
      </c>
      <c r="N168">
        <f>IFERROR(VLOOKUP(A168,Dataset2!A:Z,8,FALSE),"")</f>
        <v>2</v>
      </c>
    </row>
    <row r="169" spans="1:14" x14ac:dyDescent="0.25">
      <c r="A169" s="1">
        <v>168</v>
      </c>
      <c r="B169" s="2">
        <v>40551</v>
      </c>
      <c r="C169" s="1">
        <v>1</v>
      </c>
      <c r="D169" s="1">
        <v>0</v>
      </c>
      <c r="E169" s="1">
        <v>1</v>
      </c>
      <c r="F169" s="1">
        <v>6</v>
      </c>
      <c r="G169" s="1" t="b">
        <v>0</v>
      </c>
      <c r="H169" s="1">
        <v>6</v>
      </c>
      <c r="I169" s="1">
        <v>2</v>
      </c>
      <c r="J169" s="1">
        <v>0.16</v>
      </c>
      <c r="K169" t="str">
        <f t="shared" si="6"/>
        <v>Weekend</v>
      </c>
      <c r="L169" t="str">
        <f t="shared" si="7"/>
        <v>Morning</v>
      </c>
      <c r="M169" t="str">
        <f t="shared" si="8"/>
        <v>cloudy</v>
      </c>
      <c r="N169">
        <f>IFERROR(VLOOKUP(A169,Dataset2!A:Z,8,FALSE),"")</f>
        <v>9</v>
      </c>
    </row>
    <row r="170" spans="1:14" x14ac:dyDescent="0.25">
      <c r="A170" s="1">
        <v>169</v>
      </c>
      <c r="B170" s="2">
        <v>40551</v>
      </c>
      <c r="C170" s="1">
        <v>1</v>
      </c>
      <c r="D170" s="1">
        <v>0</v>
      </c>
      <c r="E170" s="1">
        <v>1</v>
      </c>
      <c r="F170" s="1">
        <v>7</v>
      </c>
      <c r="G170" s="1" t="b">
        <v>0</v>
      </c>
      <c r="H170" s="1">
        <v>6</v>
      </c>
      <c r="I170" s="1">
        <v>2</v>
      </c>
      <c r="J170" s="1">
        <v>0.16</v>
      </c>
      <c r="K170" t="str">
        <f t="shared" si="6"/>
        <v>Weekend</v>
      </c>
      <c r="L170" t="str">
        <f t="shared" si="7"/>
        <v>Morning</v>
      </c>
      <c r="M170" t="str">
        <f t="shared" si="8"/>
        <v>cloudy</v>
      </c>
      <c r="N170">
        <f>IFERROR(VLOOKUP(A170,Dataset2!A:Z,8,FALSE),"")</f>
        <v>15</v>
      </c>
    </row>
    <row r="171" spans="1:14" x14ac:dyDescent="0.25">
      <c r="A171" s="1">
        <v>170</v>
      </c>
      <c r="B171" s="2">
        <v>40551</v>
      </c>
      <c r="C171" s="1">
        <v>1</v>
      </c>
      <c r="D171" s="1">
        <v>0</v>
      </c>
      <c r="E171" s="1">
        <v>1</v>
      </c>
      <c r="F171" s="1">
        <v>8</v>
      </c>
      <c r="G171" s="1" t="b">
        <v>0</v>
      </c>
      <c r="H171" s="1">
        <v>6</v>
      </c>
      <c r="I171" s="1">
        <v>3</v>
      </c>
      <c r="J171" s="1">
        <v>0.16</v>
      </c>
      <c r="K171" t="str">
        <f t="shared" si="6"/>
        <v>Weekend</v>
      </c>
      <c r="L171" t="str">
        <f t="shared" si="7"/>
        <v>Morning</v>
      </c>
      <c r="M171" t="str">
        <f t="shared" si="8"/>
        <v>Rain</v>
      </c>
      <c r="N171">
        <f>IFERROR(VLOOKUP(A171,Dataset2!A:Z,8,FALSE),"")</f>
        <v>20</v>
      </c>
    </row>
    <row r="172" spans="1:14" x14ac:dyDescent="0.25">
      <c r="A172" s="1">
        <v>171</v>
      </c>
      <c r="B172" s="2">
        <v>40551</v>
      </c>
      <c r="C172" s="1">
        <v>1</v>
      </c>
      <c r="D172" s="1">
        <v>0</v>
      </c>
      <c r="E172" s="1">
        <v>1</v>
      </c>
      <c r="F172" s="1">
        <v>9</v>
      </c>
      <c r="G172" s="1" t="b">
        <v>0</v>
      </c>
      <c r="H172" s="1">
        <v>6</v>
      </c>
      <c r="I172" s="1">
        <v>3</v>
      </c>
      <c r="J172" s="1">
        <v>0.16</v>
      </c>
      <c r="K172" t="str">
        <f t="shared" si="6"/>
        <v>Weekend</v>
      </c>
      <c r="L172" t="str">
        <f t="shared" si="7"/>
        <v>Morning</v>
      </c>
      <c r="M172" t="str">
        <f t="shared" si="8"/>
        <v>Rain</v>
      </c>
      <c r="N172">
        <f>IFERROR(VLOOKUP(A172,Dataset2!A:Z,8,FALSE),"")</f>
        <v>61</v>
      </c>
    </row>
    <row r="173" spans="1:14" x14ac:dyDescent="0.25">
      <c r="A173" s="1">
        <v>172</v>
      </c>
      <c r="B173" s="2">
        <v>40551</v>
      </c>
      <c r="C173" s="1">
        <v>1</v>
      </c>
      <c r="D173" s="1">
        <v>0</v>
      </c>
      <c r="E173" s="1">
        <v>1</v>
      </c>
      <c r="F173" s="1">
        <v>10</v>
      </c>
      <c r="G173" s="1" t="b">
        <v>0</v>
      </c>
      <c r="H173" s="1">
        <v>6</v>
      </c>
      <c r="I173" s="1">
        <v>2</v>
      </c>
      <c r="J173" s="1">
        <v>0.18</v>
      </c>
      <c r="K173" t="str">
        <f t="shared" si="6"/>
        <v>Weekend</v>
      </c>
      <c r="L173" t="str">
        <f t="shared" si="7"/>
        <v>Morning</v>
      </c>
      <c r="M173" t="str">
        <f t="shared" si="8"/>
        <v>cloudy</v>
      </c>
      <c r="N173">
        <f>IFERROR(VLOOKUP(A173,Dataset2!A:Z,8,FALSE),"")</f>
        <v>62</v>
      </c>
    </row>
    <row r="174" spans="1:14" x14ac:dyDescent="0.25">
      <c r="A174" s="1">
        <v>173</v>
      </c>
      <c r="B174" s="2">
        <v>40551</v>
      </c>
      <c r="C174" s="1">
        <v>1</v>
      </c>
      <c r="D174" s="1">
        <v>0</v>
      </c>
      <c r="E174" s="1">
        <v>1</v>
      </c>
      <c r="F174" s="1">
        <v>11</v>
      </c>
      <c r="G174" s="1" t="b">
        <v>0</v>
      </c>
      <c r="H174" s="1">
        <v>6</v>
      </c>
      <c r="I174" s="1">
        <v>2</v>
      </c>
      <c r="J174" s="1">
        <v>0.2</v>
      </c>
      <c r="K174" t="str">
        <f t="shared" si="6"/>
        <v>Weekend</v>
      </c>
      <c r="L174" t="str">
        <f t="shared" si="7"/>
        <v>Morning</v>
      </c>
      <c r="M174" t="str">
        <f t="shared" si="8"/>
        <v>cloudy</v>
      </c>
      <c r="N174">
        <f>IFERROR(VLOOKUP(A174,Dataset2!A:Z,8,FALSE),"")</f>
        <v>98</v>
      </c>
    </row>
    <row r="175" spans="1:14" x14ac:dyDescent="0.25">
      <c r="A175" s="1">
        <v>174</v>
      </c>
      <c r="B175" s="2">
        <v>40551</v>
      </c>
      <c r="C175" s="1">
        <v>1</v>
      </c>
      <c r="D175" s="1">
        <v>0</v>
      </c>
      <c r="E175" s="1">
        <v>1</v>
      </c>
      <c r="F175" s="1">
        <v>12</v>
      </c>
      <c r="G175" s="1" t="b">
        <v>0</v>
      </c>
      <c r="H175" s="1">
        <v>6</v>
      </c>
      <c r="I175" s="1">
        <v>2</v>
      </c>
      <c r="J175" s="1">
        <v>0.2</v>
      </c>
      <c r="K175" t="str">
        <f t="shared" si="6"/>
        <v>Weekend</v>
      </c>
      <c r="L175" t="str">
        <f t="shared" si="7"/>
        <v>Afternoon</v>
      </c>
      <c r="M175" t="str">
        <f t="shared" si="8"/>
        <v>cloudy</v>
      </c>
      <c r="N175">
        <f>IFERROR(VLOOKUP(A175,Dataset2!A:Z,8,FALSE),"")</f>
        <v>102</v>
      </c>
    </row>
    <row r="176" spans="1:14" x14ac:dyDescent="0.25">
      <c r="A176" s="1">
        <v>175</v>
      </c>
      <c r="B176" s="2">
        <v>40551</v>
      </c>
      <c r="C176" s="1">
        <v>1</v>
      </c>
      <c r="D176" s="1">
        <v>0</v>
      </c>
      <c r="E176" s="1">
        <v>1</v>
      </c>
      <c r="F176" s="1">
        <v>13</v>
      </c>
      <c r="G176" s="1" t="b">
        <v>0</v>
      </c>
      <c r="H176" s="1">
        <v>6</v>
      </c>
      <c r="I176" s="1">
        <v>1</v>
      </c>
      <c r="J176" s="1">
        <v>0.2</v>
      </c>
      <c r="K176" t="str">
        <f t="shared" si="6"/>
        <v>Weekend</v>
      </c>
      <c r="L176" t="str">
        <f t="shared" si="7"/>
        <v>Afternoon</v>
      </c>
      <c r="M176" t="str">
        <f t="shared" si="8"/>
        <v>Clear</v>
      </c>
      <c r="N176">
        <f>IFERROR(VLOOKUP(A176,Dataset2!A:Z,8,FALSE),"")</f>
        <v>95</v>
      </c>
    </row>
    <row r="177" spans="1:14" x14ac:dyDescent="0.25">
      <c r="A177" s="1">
        <v>176</v>
      </c>
      <c r="B177" s="2">
        <v>40551</v>
      </c>
      <c r="C177" s="1">
        <v>1</v>
      </c>
      <c r="D177" s="1">
        <v>0</v>
      </c>
      <c r="E177" s="1">
        <v>1</v>
      </c>
      <c r="F177" s="1">
        <v>14</v>
      </c>
      <c r="G177" s="1" t="b">
        <v>0</v>
      </c>
      <c r="H177" s="1">
        <v>6</v>
      </c>
      <c r="I177" s="1">
        <v>1</v>
      </c>
      <c r="J177" s="1">
        <v>0.2</v>
      </c>
      <c r="K177" t="str">
        <f t="shared" si="6"/>
        <v>Weekend</v>
      </c>
      <c r="L177" t="str">
        <f t="shared" si="7"/>
        <v>Afternoon</v>
      </c>
      <c r="M177" t="str">
        <f t="shared" si="8"/>
        <v>Clear</v>
      </c>
      <c r="N177">
        <f>IFERROR(VLOOKUP(A177,Dataset2!A:Z,8,FALSE),"")</f>
        <v>74</v>
      </c>
    </row>
    <row r="178" spans="1:14" x14ac:dyDescent="0.25">
      <c r="A178" s="1">
        <v>177</v>
      </c>
      <c r="B178" s="2">
        <v>40551</v>
      </c>
      <c r="C178" s="1">
        <v>1</v>
      </c>
      <c r="D178" s="1">
        <v>0</v>
      </c>
      <c r="E178" s="1">
        <v>1</v>
      </c>
      <c r="F178" s="1">
        <v>15</v>
      </c>
      <c r="G178" s="1" t="b">
        <v>0</v>
      </c>
      <c r="H178" s="1">
        <v>6</v>
      </c>
      <c r="I178" s="1">
        <v>1</v>
      </c>
      <c r="J178" s="1">
        <v>0.2</v>
      </c>
      <c r="K178" t="str">
        <f t="shared" si="6"/>
        <v>Weekend</v>
      </c>
      <c r="L178" t="str">
        <f t="shared" si="7"/>
        <v>Afternoon</v>
      </c>
      <c r="M178" t="str">
        <f t="shared" si="8"/>
        <v>Clear</v>
      </c>
      <c r="N178">
        <f>IFERROR(VLOOKUP(A178,Dataset2!A:Z,8,FALSE),"")</f>
        <v>76</v>
      </c>
    </row>
    <row r="179" spans="1:14" x14ac:dyDescent="0.25">
      <c r="A179" s="1">
        <v>178</v>
      </c>
      <c r="B179" s="2">
        <v>40551</v>
      </c>
      <c r="C179" s="1">
        <v>1</v>
      </c>
      <c r="D179" s="1">
        <v>0</v>
      </c>
      <c r="E179" s="1">
        <v>1</v>
      </c>
      <c r="F179" s="1">
        <v>16</v>
      </c>
      <c r="G179" s="1" t="b">
        <v>0</v>
      </c>
      <c r="H179" s="1">
        <v>6</v>
      </c>
      <c r="I179" s="1">
        <v>1</v>
      </c>
      <c r="J179" s="1">
        <v>0.18</v>
      </c>
      <c r="K179" t="str">
        <f t="shared" si="6"/>
        <v>Weekend</v>
      </c>
      <c r="L179" t="str">
        <f t="shared" si="7"/>
        <v>Afternoon</v>
      </c>
      <c r="M179" t="str">
        <f t="shared" si="8"/>
        <v>Clear</v>
      </c>
      <c r="N179">
        <f>IFERROR(VLOOKUP(A179,Dataset2!A:Z,8,FALSE),"")</f>
        <v>69</v>
      </c>
    </row>
    <row r="180" spans="1:14" x14ac:dyDescent="0.25">
      <c r="A180" s="1">
        <v>179</v>
      </c>
      <c r="B180" s="2">
        <v>40551</v>
      </c>
      <c r="C180" s="1">
        <v>1</v>
      </c>
      <c r="D180" s="1">
        <v>0</v>
      </c>
      <c r="E180" s="1">
        <v>1</v>
      </c>
      <c r="F180" s="1">
        <v>17</v>
      </c>
      <c r="G180" s="1" t="b">
        <v>0</v>
      </c>
      <c r="H180" s="1">
        <v>6</v>
      </c>
      <c r="I180" s="1">
        <v>1</v>
      </c>
      <c r="J180" s="1">
        <v>0.16</v>
      </c>
      <c r="K180" t="str">
        <f t="shared" si="6"/>
        <v>Weekend</v>
      </c>
      <c r="L180" t="str">
        <f t="shared" si="7"/>
        <v>Afternoon</v>
      </c>
      <c r="M180" t="str">
        <f t="shared" si="8"/>
        <v>Clear</v>
      </c>
      <c r="N180">
        <f>IFERROR(VLOOKUP(A180,Dataset2!A:Z,8,FALSE),"")</f>
        <v>55</v>
      </c>
    </row>
    <row r="181" spans="1:14" x14ac:dyDescent="0.25">
      <c r="A181" s="1">
        <v>180</v>
      </c>
      <c r="B181" s="2">
        <v>40551</v>
      </c>
      <c r="C181" s="1">
        <v>1</v>
      </c>
      <c r="D181" s="1">
        <v>0</v>
      </c>
      <c r="E181" s="1">
        <v>1</v>
      </c>
      <c r="F181" s="1">
        <v>18</v>
      </c>
      <c r="G181" s="1" t="b">
        <v>0</v>
      </c>
      <c r="H181" s="1">
        <v>6</v>
      </c>
      <c r="I181" s="1">
        <v>1</v>
      </c>
      <c r="J181" s="1">
        <v>0.14000000000000001</v>
      </c>
      <c r="K181" t="str">
        <f t="shared" si="6"/>
        <v>Weekend</v>
      </c>
      <c r="L181" t="str">
        <f t="shared" si="7"/>
        <v>Evening</v>
      </c>
      <c r="M181" t="str">
        <f t="shared" si="8"/>
        <v>Clear</v>
      </c>
      <c r="N181">
        <f>IFERROR(VLOOKUP(A181,Dataset2!A:Z,8,FALSE),"")</f>
        <v>30</v>
      </c>
    </row>
    <row r="182" spans="1:14" x14ac:dyDescent="0.25">
      <c r="A182" s="1">
        <v>181</v>
      </c>
      <c r="B182" s="2">
        <v>40551</v>
      </c>
      <c r="C182" s="1">
        <v>1</v>
      </c>
      <c r="D182" s="1">
        <v>0</v>
      </c>
      <c r="E182" s="1">
        <v>1</v>
      </c>
      <c r="F182" s="1">
        <v>19</v>
      </c>
      <c r="G182" s="1" t="b">
        <v>0</v>
      </c>
      <c r="H182" s="1">
        <v>6</v>
      </c>
      <c r="I182" s="1">
        <v>1</v>
      </c>
      <c r="J182" s="1">
        <v>0.14000000000000001</v>
      </c>
      <c r="K182" t="str">
        <f t="shared" si="6"/>
        <v>Weekend</v>
      </c>
      <c r="L182" t="str">
        <f t="shared" si="7"/>
        <v>Evening</v>
      </c>
      <c r="M182" t="str">
        <f t="shared" si="8"/>
        <v>Clear</v>
      </c>
      <c r="N182">
        <f>IFERROR(VLOOKUP(A182,Dataset2!A:Z,8,FALSE),"")</f>
        <v>28</v>
      </c>
    </row>
    <row r="183" spans="1:14" x14ac:dyDescent="0.25">
      <c r="A183" s="1">
        <v>182</v>
      </c>
      <c r="B183" s="2">
        <v>40551</v>
      </c>
      <c r="C183" s="1">
        <v>1</v>
      </c>
      <c r="D183" s="1">
        <v>0</v>
      </c>
      <c r="E183" s="1">
        <v>1</v>
      </c>
      <c r="F183" s="1">
        <v>20</v>
      </c>
      <c r="G183" s="1" t="b">
        <v>0</v>
      </c>
      <c r="H183" s="1">
        <v>6</v>
      </c>
      <c r="I183" s="1">
        <v>1</v>
      </c>
      <c r="J183" s="1">
        <v>0.12</v>
      </c>
      <c r="K183" t="str">
        <f t="shared" si="6"/>
        <v>Weekend</v>
      </c>
      <c r="L183" t="str">
        <f t="shared" si="7"/>
        <v>Evening</v>
      </c>
      <c r="M183" t="str">
        <f t="shared" si="8"/>
        <v>Clear</v>
      </c>
      <c r="N183">
        <f>IFERROR(VLOOKUP(A183,Dataset2!A:Z,8,FALSE),"")</f>
        <v>37</v>
      </c>
    </row>
    <row r="184" spans="1:14" x14ac:dyDescent="0.25">
      <c r="A184" s="1">
        <v>183</v>
      </c>
      <c r="B184" s="2">
        <v>40551</v>
      </c>
      <c r="C184" s="1">
        <v>1</v>
      </c>
      <c r="D184" s="1">
        <v>0</v>
      </c>
      <c r="E184" s="1">
        <v>1</v>
      </c>
      <c r="F184" s="1">
        <v>21</v>
      </c>
      <c r="G184" s="1" t="b">
        <v>0</v>
      </c>
      <c r="H184" s="1">
        <v>6</v>
      </c>
      <c r="I184" s="1">
        <v>1</v>
      </c>
      <c r="J184" s="1">
        <v>0.12</v>
      </c>
      <c r="K184" t="str">
        <f t="shared" si="6"/>
        <v>Weekend</v>
      </c>
      <c r="L184" t="str">
        <f t="shared" si="7"/>
        <v>Evening</v>
      </c>
      <c r="M184" t="str">
        <f t="shared" si="8"/>
        <v>Clear</v>
      </c>
      <c r="N184">
        <f>IFERROR(VLOOKUP(A184,Dataset2!A:Z,8,FALSE),"")</f>
        <v>34</v>
      </c>
    </row>
    <row r="185" spans="1:14" x14ac:dyDescent="0.25">
      <c r="A185" s="1">
        <v>184</v>
      </c>
      <c r="B185" s="2">
        <v>40551</v>
      </c>
      <c r="C185" s="1">
        <v>1</v>
      </c>
      <c r="D185" s="1">
        <v>0</v>
      </c>
      <c r="E185" s="1">
        <v>1</v>
      </c>
      <c r="F185" s="1">
        <v>22</v>
      </c>
      <c r="G185" s="1" t="b">
        <v>0</v>
      </c>
      <c r="H185" s="1">
        <v>6</v>
      </c>
      <c r="I185" s="1">
        <v>1</v>
      </c>
      <c r="J185" s="1">
        <v>0.12</v>
      </c>
      <c r="K185" t="str">
        <f t="shared" si="6"/>
        <v>Weekend</v>
      </c>
      <c r="L185" t="str">
        <f t="shared" si="7"/>
        <v>Evening</v>
      </c>
      <c r="M185" t="str">
        <f t="shared" si="8"/>
        <v>Clear</v>
      </c>
      <c r="N185">
        <f>IFERROR(VLOOKUP(A185,Dataset2!A:Z,8,FALSE),"")</f>
        <v>22</v>
      </c>
    </row>
    <row r="186" spans="1:14" x14ac:dyDescent="0.25">
      <c r="A186" s="1">
        <v>185</v>
      </c>
      <c r="B186" s="2">
        <v>40551</v>
      </c>
      <c r="C186" s="1">
        <v>1</v>
      </c>
      <c r="D186" s="1">
        <v>0</v>
      </c>
      <c r="E186" s="1">
        <v>1</v>
      </c>
      <c r="F186" s="1">
        <v>23</v>
      </c>
      <c r="G186" s="1" t="b">
        <v>0</v>
      </c>
      <c r="H186" s="1">
        <v>6</v>
      </c>
      <c r="I186" s="1">
        <v>1</v>
      </c>
      <c r="J186" s="1">
        <v>0.1</v>
      </c>
      <c r="K186" t="str">
        <f t="shared" si="6"/>
        <v>Weekend</v>
      </c>
      <c r="L186" t="str">
        <f t="shared" si="7"/>
        <v>Evening</v>
      </c>
      <c r="M186" t="str">
        <f t="shared" si="8"/>
        <v>Clear</v>
      </c>
      <c r="N186">
        <f>IFERROR(VLOOKUP(A186,Dataset2!A:Z,8,FALSE),"")</f>
        <v>25</v>
      </c>
    </row>
    <row r="187" spans="1:14" x14ac:dyDescent="0.25">
      <c r="A187" s="1">
        <v>186</v>
      </c>
      <c r="B187" s="2">
        <v>40552</v>
      </c>
      <c r="C187" s="1">
        <v>1</v>
      </c>
      <c r="D187" s="1">
        <v>0</v>
      </c>
      <c r="E187" s="1">
        <v>1</v>
      </c>
      <c r="F187" s="1">
        <v>0</v>
      </c>
      <c r="G187" s="1" t="b">
        <v>0</v>
      </c>
      <c r="H187" s="1">
        <v>0</v>
      </c>
      <c r="I187" s="1">
        <v>1</v>
      </c>
      <c r="J187" s="1">
        <v>0.1</v>
      </c>
      <c r="K187" t="str">
        <f t="shared" si="6"/>
        <v>Weekend</v>
      </c>
      <c r="L187" t="str">
        <f t="shared" si="7"/>
        <v>Morning</v>
      </c>
      <c r="M187" t="str">
        <f t="shared" si="8"/>
        <v>Clear</v>
      </c>
      <c r="N187">
        <f>IFERROR(VLOOKUP(A187,Dataset2!A:Z,8,FALSE),"")</f>
        <v>12</v>
      </c>
    </row>
    <row r="188" spans="1:14" x14ac:dyDescent="0.25">
      <c r="A188" s="1">
        <v>187</v>
      </c>
      <c r="B188" s="2">
        <v>40552</v>
      </c>
      <c r="C188" s="1">
        <v>1</v>
      </c>
      <c r="D188" s="1">
        <v>0</v>
      </c>
      <c r="E188" s="1">
        <v>1</v>
      </c>
      <c r="F188" s="1">
        <v>1</v>
      </c>
      <c r="G188" s="1" t="b">
        <v>0</v>
      </c>
      <c r="H188" s="1">
        <v>0</v>
      </c>
      <c r="I188" s="1">
        <v>1</v>
      </c>
      <c r="J188" s="1">
        <v>0.1</v>
      </c>
      <c r="K188" t="str">
        <f t="shared" si="6"/>
        <v>Weekend</v>
      </c>
      <c r="L188" t="str">
        <f t="shared" si="7"/>
        <v>Morning</v>
      </c>
      <c r="M188" t="str">
        <f t="shared" si="8"/>
        <v>Clear</v>
      </c>
      <c r="N188">
        <f>IFERROR(VLOOKUP(A188,Dataset2!A:Z,8,FALSE),"")</f>
        <v>11</v>
      </c>
    </row>
    <row r="189" spans="1:14" x14ac:dyDescent="0.25">
      <c r="A189" s="1">
        <v>188</v>
      </c>
      <c r="B189" s="2">
        <v>40552</v>
      </c>
      <c r="C189" s="1">
        <v>1</v>
      </c>
      <c r="D189" s="1">
        <v>0</v>
      </c>
      <c r="E189" s="1">
        <v>1</v>
      </c>
      <c r="F189" s="1">
        <v>2</v>
      </c>
      <c r="G189" s="1" t="b">
        <v>0</v>
      </c>
      <c r="H189" s="1">
        <v>0</v>
      </c>
      <c r="I189" s="1">
        <v>1</v>
      </c>
      <c r="J189" s="1">
        <v>0.1</v>
      </c>
      <c r="K189" t="str">
        <f t="shared" si="6"/>
        <v>Weekend</v>
      </c>
      <c r="L189" t="str">
        <f t="shared" si="7"/>
        <v>Morning</v>
      </c>
      <c r="M189" t="str">
        <f t="shared" si="8"/>
        <v>Clear</v>
      </c>
      <c r="N189">
        <f>IFERROR(VLOOKUP(A189,Dataset2!A:Z,8,FALSE),"")</f>
        <v>4</v>
      </c>
    </row>
    <row r="190" spans="1:14" x14ac:dyDescent="0.25">
      <c r="A190" s="1">
        <v>189</v>
      </c>
      <c r="B190" s="2">
        <v>40552</v>
      </c>
      <c r="C190" s="1">
        <v>1</v>
      </c>
      <c r="D190" s="1">
        <v>0</v>
      </c>
      <c r="E190" s="1">
        <v>1</v>
      </c>
      <c r="F190" s="1">
        <v>3</v>
      </c>
      <c r="G190" s="1" t="b">
        <v>0</v>
      </c>
      <c r="H190" s="1">
        <v>0</v>
      </c>
      <c r="I190" s="1">
        <v>1</v>
      </c>
      <c r="J190" s="1">
        <v>0.1</v>
      </c>
      <c r="K190" t="str">
        <f t="shared" si="6"/>
        <v>Weekend</v>
      </c>
      <c r="L190" t="str">
        <f t="shared" si="7"/>
        <v>Morning</v>
      </c>
      <c r="M190" t="str">
        <f t="shared" si="8"/>
        <v>Clear</v>
      </c>
      <c r="N190">
        <f>IFERROR(VLOOKUP(A190,Dataset2!A:Z,8,FALSE),"")</f>
        <v>1</v>
      </c>
    </row>
    <row r="191" spans="1:14" x14ac:dyDescent="0.25">
      <c r="A191" s="1">
        <v>190</v>
      </c>
      <c r="B191" s="2">
        <v>40552</v>
      </c>
      <c r="C191" s="1">
        <v>1</v>
      </c>
      <c r="D191" s="1">
        <v>0</v>
      </c>
      <c r="E191" s="1">
        <v>1</v>
      </c>
      <c r="F191" s="1">
        <v>4</v>
      </c>
      <c r="G191" s="1" t="b">
        <v>0</v>
      </c>
      <c r="H191" s="1">
        <v>0</v>
      </c>
      <c r="I191" s="1">
        <v>1</v>
      </c>
      <c r="J191" s="1">
        <v>0.08</v>
      </c>
      <c r="K191" t="str">
        <f t="shared" si="6"/>
        <v>Weekend</v>
      </c>
      <c r="L191" t="str">
        <f t="shared" si="7"/>
        <v>Morning</v>
      </c>
      <c r="M191" t="str">
        <f t="shared" si="8"/>
        <v>Clear</v>
      </c>
      <c r="N191">
        <f>IFERROR(VLOOKUP(A191,Dataset2!A:Z,8,FALSE),"")</f>
        <v>1</v>
      </c>
    </row>
    <row r="192" spans="1:14" x14ac:dyDescent="0.25">
      <c r="A192" s="1">
        <v>191</v>
      </c>
      <c r="B192" s="2">
        <v>40552</v>
      </c>
      <c r="C192" s="1">
        <v>1</v>
      </c>
      <c r="D192" s="1">
        <v>0</v>
      </c>
      <c r="E192" s="1">
        <v>1</v>
      </c>
      <c r="F192" s="1">
        <v>5</v>
      </c>
      <c r="G192" s="1" t="b">
        <v>0</v>
      </c>
      <c r="H192" s="1">
        <v>0</v>
      </c>
      <c r="I192" s="1">
        <v>1</v>
      </c>
      <c r="J192" s="1">
        <v>0.08</v>
      </c>
      <c r="K192" t="str">
        <f t="shared" si="6"/>
        <v>Weekend</v>
      </c>
      <c r="L192" t="str">
        <f t="shared" si="7"/>
        <v>Morning</v>
      </c>
      <c r="M192" t="str">
        <f t="shared" si="8"/>
        <v>Clear</v>
      </c>
      <c r="N192">
        <f>IFERROR(VLOOKUP(A192,Dataset2!A:Z,8,FALSE),"")</f>
        <v>1</v>
      </c>
    </row>
    <row r="193" spans="1:14" x14ac:dyDescent="0.25">
      <c r="A193" s="1">
        <v>192</v>
      </c>
      <c r="B193" s="2">
        <v>40552</v>
      </c>
      <c r="C193" s="1">
        <v>1</v>
      </c>
      <c r="D193" s="1">
        <v>0</v>
      </c>
      <c r="E193" s="1">
        <v>1</v>
      </c>
      <c r="F193" s="1">
        <v>6</v>
      </c>
      <c r="G193" s="1" t="b">
        <v>0</v>
      </c>
      <c r="H193" s="1">
        <v>0</v>
      </c>
      <c r="I193" s="1">
        <v>1</v>
      </c>
      <c r="J193" s="1">
        <v>0.1</v>
      </c>
      <c r="K193" t="str">
        <f t="shared" si="6"/>
        <v>Weekend</v>
      </c>
      <c r="L193" t="str">
        <f t="shared" si="7"/>
        <v>Morning</v>
      </c>
      <c r="M193" t="str">
        <f t="shared" si="8"/>
        <v>Clear</v>
      </c>
      <c r="N193">
        <f>IFERROR(VLOOKUP(A193,Dataset2!A:Z,8,FALSE),"")</f>
        <v>6</v>
      </c>
    </row>
    <row r="194" spans="1:14" x14ac:dyDescent="0.25">
      <c r="A194" s="1">
        <v>193</v>
      </c>
      <c r="B194" s="2">
        <v>40552</v>
      </c>
      <c r="C194" s="1">
        <v>1</v>
      </c>
      <c r="D194" s="1">
        <v>0</v>
      </c>
      <c r="E194" s="1">
        <v>1</v>
      </c>
      <c r="F194" s="1">
        <v>7</v>
      </c>
      <c r="G194" s="1" t="b">
        <v>0</v>
      </c>
      <c r="H194" s="1">
        <v>0</v>
      </c>
      <c r="I194" s="1">
        <v>1</v>
      </c>
      <c r="J194" s="1">
        <v>0.08</v>
      </c>
      <c r="K194" t="str">
        <f t="shared" si="6"/>
        <v>Weekend</v>
      </c>
      <c r="L194" t="str">
        <f t="shared" si="7"/>
        <v>Morning</v>
      </c>
      <c r="M194" t="str">
        <f t="shared" si="8"/>
        <v>Clear</v>
      </c>
      <c r="N194">
        <f>IFERROR(VLOOKUP(A194,Dataset2!A:Z,8,FALSE),"")</f>
        <v>10</v>
      </c>
    </row>
    <row r="195" spans="1:14" x14ac:dyDescent="0.25">
      <c r="A195" s="1">
        <v>194</v>
      </c>
      <c r="B195" s="2">
        <v>40552</v>
      </c>
      <c r="C195" s="1">
        <v>1</v>
      </c>
      <c r="D195" s="1">
        <v>0</v>
      </c>
      <c r="E195" s="1">
        <v>1</v>
      </c>
      <c r="F195" s="1">
        <v>8</v>
      </c>
      <c r="G195" s="1" t="b">
        <v>0</v>
      </c>
      <c r="H195" s="1">
        <v>0</v>
      </c>
      <c r="I195" s="1">
        <v>1</v>
      </c>
      <c r="J195" s="1">
        <v>0.1</v>
      </c>
      <c r="K195" t="str">
        <f t="shared" ref="K195:K258" si="9">IF(OR(H195=0,H195=6),"Weekend","Weekday")</f>
        <v>Weekend</v>
      </c>
      <c r="L195" t="str">
        <f t="shared" ref="L195:L258" si="10">IF(F195&lt;12,"Morning",IF(F195&lt;18,"Afternoon","Evening"))</f>
        <v>Morning</v>
      </c>
      <c r="M195" t="str">
        <f t="shared" ref="M195:M258" si="11">IF(I195=1,"Clear",IF(I195=2,"cloudy",IF(I195=3,"Rain","Heavy Rain")))</f>
        <v>Clear</v>
      </c>
      <c r="N195">
        <f>IFERROR(VLOOKUP(A195,Dataset2!A:Z,8,FALSE),"")</f>
        <v>19</v>
      </c>
    </row>
    <row r="196" spans="1:14" x14ac:dyDescent="0.25">
      <c r="A196" s="1">
        <v>195</v>
      </c>
      <c r="B196" s="2">
        <v>40552</v>
      </c>
      <c r="C196" s="1">
        <v>1</v>
      </c>
      <c r="D196" s="1">
        <v>0</v>
      </c>
      <c r="E196" s="1">
        <v>1</v>
      </c>
      <c r="F196" s="1">
        <v>9</v>
      </c>
      <c r="G196" s="1" t="b">
        <v>0</v>
      </c>
      <c r="H196" s="1">
        <v>0</v>
      </c>
      <c r="I196" s="1">
        <v>1</v>
      </c>
      <c r="J196" s="1">
        <v>0.12</v>
      </c>
      <c r="K196" t="str">
        <f t="shared" si="9"/>
        <v>Weekend</v>
      </c>
      <c r="L196" t="str">
        <f t="shared" si="10"/>
        <v>Morning</v>
      </c>
      <c r="M196" t="str">
        <f t="shared" si="11"/>
        <v>Clear</v>
      </c>
      <c r="N196">
        <f>IFERROR(VLOOKUP(A196,Dataset2!A:Z,8,FALSE),"")</f>
        <v>49</v>
      </c>
    </row>
    <row r="197" spans="1:14" x14ac:dyDescent="0.25">
      <c r="A197" s="1">
        <v>196</v>
      </c>
      <c r="B197" s="2">
        <v>40552</v>
      </c>
      <c r="C197" s="1">
        <v>1</v>
      </c>
      <c r="D197" s="1">
        <v>0</v>
      </c>
      <c r="E197" s="1">
        <v>1</v>
      </c>
      <c r="F197" s="1">
        <v>10</v>
      </c>
      <c r="G197" s="1" t="b">
        <v>0</v>
      </c>
      <c r="H197" s="1">
        <v>0</v>
      </c>
      <c r="I197" s="1">
        <v>1</v>
      </c>
      <c r="J197" s="1">
        <v>0.14000000000000001</v>
      </c>
      <c r="K197" t="str">
        <f t="shared" si="9"/>
        <v>Weekend</v>
      </c>
      <c r="L197" t="str">
        <f t="shared" si="10"/>
        <v>Morning</v>
      </c>
      <c r="M197" t="str">
        <f t="shared" si="11"/>
        <v>Clear</v>
      </c>
      <c r="N197">
        <f>IFERROR(VLOOKUP(A197,Dataset2!A:Z,8,FALSE),"")</f>
        <v>49</v>
      </c>
    </row>
    <row r="198" spans="1:14" x14ac:dyDescent="0.25">
      <c r="A198" s="1">
        <v>197</v>
      </c>
      <c r="B198" s="2">
        <v>40552</v>
      </c>
      <c r="C198" s="1">
        <v>1</v>
      </c>
      <c r="D198" s="1">
        <v>0</v>
      </c>
      <c r="E198" s="1">
        <v>1</v>
      </c>
      <c r="F198" s="1">
        <v>11</v>
      </c>
      <c r="G198" s="1" t="b">
        <v>0</v>
      </c>
      <c r="H198" s="1">
        <v>0</v>
      </c>
      <c r="I198" s="1">
        <v>1</v>
      </c>
      <c r="J198" s="1">
        <v>0.16</v>
      </c>
      <c r="K198" t="str">
        <f t="shared" si="9"/>
        <v>Weekend</v>
      </c>
      <c r="L198" t="str">
        <f t="shared" si="10"/>
        <v>Morning</v>
      </c>
      <c r="M198" t="str">
        <f t="shared" si="11"/>
        <v>Clear</v>
      </c>
      <c r="N198">
        <f>IFERROR(VLOOKUP(A198,Dataset2!A:Z,8,FALSE),"")</f>
        <v>83</v>
      </c>
    </row>
    <row r="199" spans="1:14" x14ac:dyDescent="0.25">
      <c r="A199" s="1">
        <v>198</v>
      </c>
      <c r="B199" s="2">
        <v>40552</v>
      </c>
      <c r="C199" s="1">
        <v>1</v>
      </c>
      <c r="D199" s="1">
        <v>0</v>
      </c>
      <c r="E199" s="1">
        <v>1</v>
      </c>
      <c r="F199" s="1">
        <v>12</v>
      </c>
      <c r="G199" s="1" t="b">
        <v>0</v>
      </c>
      <c r="H199" s="1">
        <v>0</v>
      </c>
      <c r="I199" s="1">
        <v>1</v>
      </c>
      <c r="J199" s="1">
        <v>0.18</v>
      </c>
      <c r="K199" t="str">
        <f t="shared" si="9"/>
        <v>Weekend</v>
      </c>
      <c r="L199" t="str">
        <f t="shared" si="10"/>
        <v>Afternoon</v>
      </c>
      <c r="M199" t="str">
        <f t="shared" si="11"/>
        <v>Clear</v>
      </c>
      <c r="N199">
        <f>IFERROR(VLOOKUP(A199,Dataset2!A:Z,8,FALSE),"")</f>
        <v>75</v>
      </c>
    </row>
    <row r="200" spans="1:14" x14ac:dyDescent="0.25">
      <c r="A200" s="1">
        <v>199</v>
      </c>
      <c r="B200" s="2">
        <v>40552</v>
      </c>
      <c r="C200" s="1">
        <v>1</v>
      </c>
      <c r="D200" s="1">
        <v>0</v>
      </c>
      <c r="E200" s="1">
        <v>1</v>
      </c>
      <c r="F200" s="1">
        <v>13</v>
      </c>
      <c r="G200" s="1" t="b">
        <v>0</v>
      </c>
      <c r="H200" s="1">
        <v>0</v>
      </c>
      <c r="I200" s="1">
        <v>1</v>
      </c>
      <c r="J200" s="1">
        <v>0.2</v>
      </c>
      <c r="K200" t="str">
        <f t="shared" si="9"/>
        <v>Weekend</v>
      </c>
      <c r="L200" t="str">
        <f t="shared" si="10"/>
        <v>Afternoon</v>
      </c>
      <c r="M200" t="str">
        <f t="shared" si="11"/>
        <v>Clear</v>
      </c>
      <c r="N200">
        <f>IFERROR(VLOOKUP(A200,Dataset2!A:Z,8,FALSE),"")</f>
        <v>72</v>
      </c>
    </row>
    <row r="201" spans="1:14" x14ac:dyDescent="0.25">
      <c r="A201" s="1">
        <v>200</v>
      </c>
      <c r="B201" s="2">
        <v>40552</v>
      </c>
      <c r="C201" s="1">
        <v>1</v>
      </c>
      <c r="D201" s="1">
        <v>0</v>
      </c>
      <c r="E201" s="1">
        <v>1</v>
      </c>
      <c r="F201" s="1">
        <v>14</v>
      </c>
      <c r="G201" s="1" t="b">
        <v>0</v>
      </c>
      <c r="H201" s="1">
        <v>0</v>
      </c>
      <c r="I201" s="1">
        <v>1</v>
      </c>
      <c r="J201" s="1">
        <v>0.22</v>
      </c>
      <c r="K201" t="str">
        <f t="shared" si="9"/>
        <v>Weekend</v>
      </c>
      <c r="L201" t="str">
        <f t="shared" si="10"/>
        <v>Afternoon</v>
      </c>
      <c r="M201" t="str">
        <f t="shared" si="11"/>
        <v>Clear</v>
      </c>
      <c r="N201">
        <f>IFERROR(VLOOKUP(A201,Dataset2!A:Z,8,FALSE),"")</f>
        <v>82</v>
      </c>
    </row>
    <row r="202" spans="1:14" x14ac:dyDescent="0.25">
      <c r="A202" s="1">
        <v>201</v>
      </c>
      <c r="B202" s="2">
        <v>40552</v>
      </c>
      <c r="C202" s="1">
        <v>1</v>
      </c>
      <c r="D202" s="1">
        <v>0</v>
      </c>
      <c r="E202" s="1">
        <v>1</v>
      </c>
      <c r="F202" s="1">
        <v>15</v>
      </c>
      <c r="G202" s="1" t="b">
        <v>0</v>
      </c>
      <c r="H202" s="1">
        <v>0</v>
      </c>
      <c r="I202" s="1">
        <v>1</v>
      </c>
      <c r="J202" s="1">
        <v>0.22</v>
      </c>
      <c r="K202" t="str">
        <f t="shared" si="9"/>
        <v>Weekend</v>
      </c>
      <c r="L202" t="str">
        <f t="shared" si="10"/>
        <v>Afternoon</v>
      </c>
      <c r="M202" t="str">
        <f t="shared" si="11"/>
        <v>Clear</v>
      </c>
      <c r="N202">
        <f>IFERROR(VLOOKUP(A202,Dataset2!A:Z,8,FALSE),"")</f>
        <v>92</v>
      </c>
    </row>
    <row r="203" spans="1:14" x14ac:dyDescent="0.25">
      <c r="A203" s="1">
        <v>202</v>
      </c>
      <c r="B203" s="2">
        <v>40552</v>
      </c>
      <c r="C203" s="1">
        <v>1</v>
      </c>
      <c r="D203" s="1">
        <v>0</v>
      </c>
      <c r="E203" s="1">
        <v>1</v>
      </c>
      <c r="F203" s="1">
        <v>16</v>
      </c>
      <c r="G203" s="1" t="b">
        <v>0</v>
      </c>
      <c r="H203" s="1">
        <v>0</v>
      </c>
      <c r="I203" s="1">
        <v>1</v>
      </c>
      <c r="J203" s="1">
        <v>0.2</v>
      </c>
      <c r="K203" t="str">
        <f t="shared" si="9"/>
        <v>Weekend</v>
      </c>
      <c r="L203" t="str">
        <f t="shared" si="10"/>
        <v>Afternoon</v>
      </c>
      <c r="M203" t="str">
        <f t="shared" si="11"/>
        <v>Clear</v>
      </c>
      <c r="N203">
        <f>IFERROR(VLOOKUP(A203,Dataset2!A:Z,8,FALSE),"")</f>
        <v>62</v>
      </c>
    </row>
    <row r="204" spans="1:14" x14ac:dyDescent="0.25">
      <c r="A204" s="1">
        <v>203</v>
      </c>
      <c r="B204" s="2">
        <v>40552</v>
      </c>
      <c r="C204" s="1">
        <v>1</v>
      </c>
      <c r="D204" s="1">
        <v>0</v>
      </c>
      <c r="E204" s="1">
        <v>1</v>
      </c>
      <c r="F204" s="1">
        <v>17</v>
      </c>
      <c r="G204" s="1" t="b">
        <v>0</v>
      </c>
      <c r="H204" s="1">
        <v>0</v>
      </c>
      <c r="I204" s="1">
        <v>1</v>
      </c>
      <c r="J204" s="1">
        <v>0.18</v>
      </c>
      <c r="K204" t="str">
        <f t="shared" si="9"/>
        <v>Weekend</v>
      </c>
      <c r="L204" t="str">
        <f t="shared" si="10"/>
        <v>Afternoon</v>
      </c>
      <c r="M204" t="str">
        <f t="shared" si="11"/>
        <v>Clear</v>
      </c>
      <c r="N204">
        <f>IFERROR(VLOOKUP(A204,Dataset2!A:Z,8,FALSE),"")</f>
        <v>48</v>
      </c>
    </row>
    <row r="205" spans="1:14" x14ac:dyDescent="0.25">
      <c r="A205" s="1">
        <v>204</v>
      </c>
      <c r="B205" s="2">
        <v>40552</v>
      </c>
      <c r="C205" s="1">
        <v>1</v>
      </c>
      <c r="D205" s="1">
        <v>0</v>
      </c>
      <c r="E205" s="1">
        <v>1</v>
      </c>
      <c r="F205" s="1">
        <v>18</v>
      </c>
      <c r="G205" s="1" t="b">
        <v>0</v>
      </c>
      <c r="H205" s="1">
        <v>0</v>
      </c>
      <c r="I205" s="1">
        <v>1</v>
      </c>
      <c r="J205" s="1">
        <v>0.16</v>
      </c>
      <c r="K205" t="str">
        <f t="shared" si="9"/>
        <v>Weekend</v>
      </c>
      <c r="L205" t="str">
        <f t="shared" si="10"/>
        <v>Evening</v>
      </c>
      <c r="M205" t="str">
        <f t="shared" si="11"/>
        <v>Clear</v>
      </c>
      <c r="N205">
        <f>IFERROR(VLOOKUP(A205,Dataset2!A:Z,8,FALSE),"")</f>
        <v>41</v>
      </c>
    </row>
    <row r="206" spans="1:14" x14ac:dyDescent="0.25">
      <c r="A206" s="1">
        <v>205</v>
      </c>
      <c r="B206" s="2">
        <v>40552</v>
      </c>
      <c r="C206" s="1">
        <v>1</v>
      </c>
      <c r="D206" s="1">
        <v>0</v>
      </c>
      <c r="E206" s="1">
        <v>1</v>
      </c>
      <c r="F206" s="1">
        <v>19</v>
      </c>
      <c r="G206" s="1" t="b">
        <v>0</v>
      </c>
      <c r="H206" s="1">
        <v>0</v>
      </c>
      <c r="I206" s="1">
        <v>1</v>
      </c>
      <c r="J206" s="1">
        <v>0.16</v>
      </c>
      <c r="K206" t="str">
        <f t="shared" si="9"/>
        <v>Weekend</v>
      </c>
      <c r="L206" t="str">
        <f t="shared" si="10"/>
        <v>Evening</v>
      </c>
      <c r="M206" t="str">
        <f t="shared" si="11"/>
        <v>Clear</v>
      </c>
      <c r="N206">
        <f>IFERROR(VLOOKUP(A206,Dataset2!A:Z,8,FALSE),"")</f>
        <v>38</v>
      </c>
    </row>
    <row r="207" spans="1:14" x14ac:dyDescent="0.25">
      <c r="A207" s="1">
        <v>206</v>
      </c>
      <c r="B207" s="2">
        <v>40552</v>
      </c>
      <c r="C207" s="1">
        <v>1</v>
      </c>
      <c r="D207" s="1">
        <v>0</v>
      </c>
      <c r="E207" s="1">
        <v>1</v>
      </c>
      <c r="F207" s="1">
        <v>20</v>
      </c>
      <c r="G207" s="1" t="b">
        <v>0</v>
      </c>
      <c r="H207" s="1">
        <v>0</v>
      </c>
      <c r="I207" s="1">
        <v>1</v>
      </c>
      <c r="J207" s="1">
        <v>0.14000000000000001</v>
      </c>
      <c r="K207" t="str">
        <f t="shared" si="9"/>
        <v>Weekend</v>
      </c>
      <c r="L207" t="str">
        <f t="shared" si="10"/>
        <v>Evening</v>
      </c>
      <c r="M207" t="str">
        <f t="shared" si="11"/>
        <v>Clear</v>
      </c>
      <c r="N207">
        <f>IFERROR(VLOOKUP(A207,Dataset2!A:Z,8,FALSE),"")</f>
        <v>20</v>
      </c>
    </row>
    <row r="208" spans="1:14" x14ac:dyDescent="0.25">
      <c r="A208" s="1">
        <v>207</v>
      </c>
      <c r="B208" s="2">
        <v>40552</v>
      </c>
      <c r="C208" s="1">
        <v>1</v>
      </c>
      <c r="D208" s="1">
        <v>0</v>
      </c>
      <c r="E208" s="1">
        <v>1</v>
      </c>
      <c r="F208" s="1">
        <v>21</v>
      </c>
      <c r="G208" s="1" t="b">
        <v>0</v>
      </c>
      <c r="H208" s="1">
        <v>0</v>
      </c>
      <c r="I208" s="1">
        <v>1</v>
      </c>
      <c r="J208" s="1">
        <v>0.14000000000000001</v>
      </c>
      <c r="K208" t="str">
        <f t="shared" si="9"/>
        <v>Weekend</v>
      </c>
      <c r="L208" t="str">
        <f t="shared" si="10"/>
        <v>Evening</v>
      </c>
      <c r="M208" t="str">
        <f t="shared" si="11"/>
        <v>Clear</v>
      </c>
      <c r="N208">
        <f>IFERROR(VLOOKUP(A208,Dataset2!A:Z,8,FALSE),"")</f>
        <v>15</v>
      </c>
    </row>
    <row r="209" spans="1:14" x14ac:dyDescent="0.25">
      <c r="A209" s="1">
        <v>208</v>
      </c>
      <c r="B209" s="2">
        <v>40552</v>
      </c>
      <c r="C209" s="1">
        <v>1</v>
      </c>
      <c r="D209" s="1">
        <v>0</v>
      </c>
      <c r="E209" s="1">
        <v>1</v>
      </c>
      <c r="F209" s="1">
        <v>22</v>
      </c>
      <c r="G209" s="1" t="b">
        <v>0</v>
      </c>
      <c r="H209" s="1">
        <v>0</v>
      </c>
      <c r="I209" s="1">
        <v>1</v>
      </c>
      <c r="J209" s="1">
        <v>0.14000000000000001</v>
      </c>
      <c r="K209" t="str">
        <f t="shared" si="9"/>
        <v>Weekend</v>
      </c>
      <c r="L209" t="str">
        <f t="shared" si="10"/>
        <v>Evening</v>
      </c>
      <c r="M209" t="str">
        <f t="shared" si="11"/>
        <v>Clear</v>
      </c>
      <c r="N209">
        <f>IFERROR(VLOOKUP(A209,Dataset2!A:Z,8,FALSE),"")</f>
        <v>6</v>
      </c>
    </row>
    <row r="210" spans="1:14" x14ac:dyDescent="0.25">
      <c r="A210" s="1">
        <v>209</v>
      </c>
      <c r="B210" s="2">
        <v>40552</v>
      </c>
      <c r="C210" s="1">
        <v>1</v>
      </c>
      <c r="D210" s="1">
        <v>0</v>
      </c>
      <c r="E210" s="1">
        <v>1</v>
      </c>
      <c r="F210" s="1">
        <v>23</v>
      </c>
      <c r="G210" s="1" t="b">
        <v>0</v>
      </c>
      <c r="H210" s="1">
        <v>0</v>
      </c>
      <c r="I210" s="1">
        <v>1</v>
      </c>
      <c r="J210" s="1">
        <v>0.12</v>
      </c>
      <c r="K210" t="str">
        <f t="shared" si="9"/>
        <v>Weekend</v>
      </c>
      <c r="L210" t="str">
        <f t="shared" si="10"/>
        <v>Evening</v>
      </c>
      <c r="M210" t="str">
        <f t="shared" si="11"/>
        <v>Clear</v>
      </c>
      <c r="N210">
        <f>IFERROR(VLOOKUP(A210,Dataset2!A:Z,8,FALSE),"")</f>
        <v>5</v>
      </c>
    </row>
    <row r="211" spans="1:14" x14ac:dyDescent="0.25">
      <c r="A211" s="1">
        <v>210</v>
      </c>
      <c r="B211" s="2">
        <v>40553</v>
      </c>
      <c r="C211" s="1">
        <v>1</v>
      </c>
      <c r="D211" s="1">
        <v>0</v>
      </c>
      <c r="E211" s="1">
        <v>1</v>
      </c>
      <c r="F211" s="1">
        <v>0</v>
      </c>
      <c r="G211" s="1" t="b">
        <v>0</v>
      </c>
      <c r="H211" s="1">
        <v>1</v>
      </c>
      <c r="I211" s="1">
        <v>1</v>
      </c>
      <c r="J211" s="1">
        <v>0.12</v>
      </c>
      <c r="K211" t="str">
        <f t="shared" si="9"/>
        <v>Weekday</v>
      </c>
      <c r="L211" t="str">
        <f t="shared" si="10"/>
        <v>Morning</v>
      </c>
      <c r="M211" t="str">
        <f t="shared" si="11"/>
        <v>Clear</v>
      </c>
      <c r="N211">
        <f>IFERROR(VLOOKUP(A211,Dataset2!A:Z,8,FALSE),"")</f>
        <v>1</v>
      </c>
    </row>
    <row r="212" spans="1:14" x14ac:dyDescent="0.25">
      <c r="A212" s="1">
        <v>211</v>
      </c>
      <c r="B212" s="2">
        <v>40553</v>
      </c>
      <c r="C212" s="1">
        <v>1</v>
      </c>
      <c r="D212" s="1">
        <v>0</v>
      </c>
      <c r="E212" s="1">
        <v>1</v>
      </c>
      <c r="F212" s="1">
        <v>1</v>
      </c>
      <c r="G212" s="1" t="b">
        <v>0</v>
      </c>
      <c r="H212" s="1">
        <v>1</v>
      </c>
      <c r="I212" s="1">
        <v>1</v>
      </c>
      <c r="J212" s="1">
        <v>0.12</v>
      </c>
      <c r="K212" t="str">
        <f t="shared" si="9"/>
        <v>Weekday</v>
      </c>
      <c r="L212" t="str">
        <f t="shared" si="10"/>
        <v>Morning</v>
      </c>
      <c r="M212" t="str">
        <f t="shared" si="11"/>
        <v>Clear</v>
      </c>
      <c r="N212">
        <f>IFERROR(VLOOKUP(A212,Dataset2!A:Z,8,FALSE),"")</f>
        <v>3</v>
      </c>
    </row>
    <row r="213" spans="1:14" x14ac:dyDescent="0.25">
      <c r="A213" s="1">
        <v>212</v>
      </c>
      <c r="B213" s="2">
        <v>40553</v>
      </c>
      <c r="C213" s="1">
        <v>1</v>
      </c>
      <c r="D213" s="1">
        <v>0</v>
      </c>
      <c r="E213" s="1">
        <v>1</v>
      </c>
      <c r="F213" s="1">
        <v>2</v>
      </c>
      <c r="G213" s="1" t="b">
        <v>0</v>
      </c>
      <c r="H213" s="1">
        <v>1</v>
      </c>
      <c r="I213" s="1">
        <v>1</v>
      </c>
      <c r="J213" s="1">
        <v>0.12</v>
      </c>
      <c r="K213" t="str">
        <f t="shared" si="9"/>
        <v>Weekday</v>
      </c>
      <c r="L213" t="str">
        <f t="shared" si="10"/>
        <v>Morning</v>
      </c>
      <c r="M213" t="str">
        <f t="shared" si="11"/>
        <v>Clear</v>
      </c>
      <c r="N213">
        <f>IFERROR(VLOOKUP(A213,Dataset2!A:Z,8,FALSE),"")</f>
        <v>1</v>
      </c>
    </row>
    <row r="214" spans="1:14" x14ac:dyDescent="0.25">
      <c r="A214" s="1">
        <v>213</v>
      </c>
      <c r="B214" s="2">
        <v>40553</v>
      </c>
      <c r="C214" s="1">
        <v>1</v>
      </c>
      <c r="D214" s="1">
        <v>0</v>
      </c>
      <c r="E214" s="1">
        <v>1</v>
      </c>
      <c r="F214" s="1">
        <v>3</v>
      </c>
      <c r="G214" s="1" t="b">
        <v>0</v>
      </c>
      <c r="H214" s="1">
        <v>1</v>
      </c>
      <c r="I214" s="1">
        <v>1</v>
      </c>
      <c r="J214" s="1">
        <v>0.12</v>
      </c>
      <c r="K214" t="str">
        <f t="shared" si="9"/>
        <v>Weekday</v>
      </c>
      <c r="L214" t="str">
        <f t="shared" si="10"/>
        <v>Morning</v>
      </c>
      <c r="M214" t="str">
        <f t="shared" si="11"/>
        <v>Clear</v>
      </c>
      <c r="N214">
        <f>IFERROR(VLOOKUP(A214,Dataset2!A:Z,8,FALSE),"")</f>
        <v>3</v>
      </c>
    </row>
    <row r="215" spans="1:14" x14ac:dyDescent="0.25">
      <c r="A215" s="1">
        <v>214</v>
      </c>
      <c r="B215" s="2">
        <v>40553</v>
      </c>
      <c r="C215" s="1">
        <v>1</v>
      </c>
      <c r="D215" s="1">
        <v>0</v>
      </c>
      <c r="E215" s="1">
        <v>1</v>
      </c>
      <c r="F215" s="1">
        <v>4</v>
      </c>
      <c r="G215" s="1" t="b">
        <v>0</v>
      </c>
      <c r="H215" s="1">
        <v>1</v>
      </c>
      <c r="I215" s="1">
        <v>1</v>
      </c>
      <c r="J215" s="1">
        <v>0.1</v>
      </c>
      <c r="K215" t="str">
        <f t="shared" si="9"/>
        <v>Weekday</v>
      </c>
      <c r="L215" t="str">
        <f t="shared" si="10"/>
        <v>Morning</v>
      </c>
      <c r="M215" t="str">
        <f t="shared" si="11"/>
        <v>Clear</v>
      </c>
      <c r="N215">
        <f>IFERROR(VLOOKUP(A215,Dataset2!A:Z,8,FALSE),"")</f>
        <v>3</v>
      </c>
    </row>
    <row r="216" spans="1:14" x14ac:dyDescent="0.25">
      <c r="A216" s="1">
        <v>215</v>
      </c>
      <c r="B216" s="2">
        <v>40553</v>
      </c>
      <c r="C216" s="1">
        <v>1</v>
      </c>
      <c r="D216" s="1">
        <v>0</v>
      </c>
      <c r="E216" s="1">
        <v>1</v>
      </c>
      <c r="F216" s="1">
        <v>5</v>
      </c>
      <c r="G216" s="1" t="b">
        <v>0</v>
      </c>
      <c r="H216" s="1">
        <v>1</v>
      </c>
      <c r="I216" s="1">
        <v>1</v>
      </c>
      <c r="J216" s="1">
        <v>0.1</v>
      </c>
      <c r="K216" t="str">
        <f t="shared" si="9"/>
        <v>Weekday</v>
      </c>
      <c r="L216" t="str">
        <f t="shared" si="10"/>
        <v>Morning</v>
      </c>
      <c r="M216" t="str">
        <f t="shared" si="11"/>
        <v>Clear</v>
      </c>
      <c r="N216">
        <f>IFERROR(VLOOKUP(A216,Dataset2!A:Z,8,FALSE),"")</f>
        <v>31</v>
      </c>
    </row>
    <row r="217" spans="1:14" x14ac:dyDescent="0.25">
      <c r="A217" s="1">
        <v>216</v>
      </c>
      <c r="B217" s="2">
        <v>40553</v>
      </c>
      <c r="C217" s="1">
        <v>1</v>
      </c>
      <c r="D217" s="1">
        <v>0</v>
      </c>
      <c r="E217" s="1">
        <v>1</v>
      </c>
      <c r="F217" s="1">
        <v>6</v>
      </c>
      <c r="G217" s="1" t="b">
        <v>0</v>
      </c>
      <c r="H217" s="1">
        <v>1</v>
      </c>
      <c r="I217" s="1">
        <v>1</v>
      </c>
      <c r="J217" s="1">
        <v>0.12</v>
      </c>
      <c r="K217" t="str">
        <f t="shared" si="9"/>
        <v>Weekday</v>
      </c>
      <c r="L217" t="str">
        <f t="shared" si="10"/>
        <v>Morning</v>
      </c>
      <c r="M217" t="str">
        <f t="shared" si="11"/>
        <v>Clear</v>
      </c>
      <c r="N217">
        <f>IFERROR(VLOOKUP(A217,Dataset2!A:Z,8,FALSE),"")</f>
        <v>77</v>
      </c>
    </row>
    <row r="218" spans="1:14" x14ac:dyDescent="0.25">
      <c r="A218" s="1">
        <v>217</v>
      </c>
      <c r="B218" s="2">
        <v>40553</v>
      </c>
      <c r="C218" s="1">
        <v>1</v>
      </c>
      <c r="D218" s="1">
        <v>0</v>
      </c>
      <c r="E218" s="1">
        <v>1</v>
      </c>
      <c r="F218" s="1">
        <v>7</v>
      </c>
      <c r="G218" s="1" t="b">
        <v>0</v>
      </c>
      <c r="H218" s="1">
        <v>1</v>
      </c>
      <c r="I218" s="1">
        <v>1</v>
      </c>
      <c r="J218" s="1">
        <v>0.12</v>
      </c>
      <c r="K218" t="str">
        <f t="shared" si="9"/>
        <v>Weekday</v>
      </c>
      <c r="L218" t="str">
        <f t="shared" si="10"/>
        <v>Morning</v>
      </c>
      <c r="M218" t="str">
        <f t="shared" si="11"/>
        <v>Clear</v>
      </c>
      <c r="N218">
        <f>IFERROR(VLOOKUP(A218,Dataset2!A:Z,8,FALSE),"")</f>
        <v>188</v>
      </c>
    </row>
    <row r="219" spans="1:14" x14ac:dyDescent="0.25">
      <c r="A219" s="1">
        <v>218</v>
      </c>
      <c r="B219" s="2">
        <v>40553</v>
      </c>
      <c r="C219" s="1">
        <v>1</v>
      </c>
      <c r="D219" s="1">
        <v>0</v>
      </c>
      <c r="E219" s="1">
        <v>1</v>
      </c>
      <c r="F219" s="1">
        <v>8</v>
      </c>
      <c r="G219" s="1" t="b">
        <v>0</v>
      </c>
      <c r="H219" s="1">
        <v>1</v>
      </c>
      <c r="I219" s="1">
        <v>2</v>
      </c>
      <c r="J219" s="1">
        <v>0.12</v>
      </c>
      <c r="K219" t="str">
        <f t="shared" si="9"/>
        <v>Weekday</v>
      </c>
      <c r="L219" t="str">
        <f t="shared" si="10"/>
        <v>Morning</v>
      </c>
      <c r="M219" t="str">
        <f t="shared" si="11"/>
        <v>cloudy</v>
      </c>
      <c r="N219">
        <f>IFERROR(VLOOKUP(A219,Dataset2!A:Z,8,FALSE),"")</f>
        <v>94</v>
      </c>
    </row>
    <row r="220" spans="1:14" x14ac:dyDescent="0.25">
      <c r="A220" s="1">
        <v>219</v>
      </c>
      <c r="B220" s="2">
        <v>40553</v>
      </c>
      <c r="C220" s="1">
        <v>1</v>
      </c>
      <c r="D220" s="1">
        <v>0</v>
      </c>
      <c r="E220" s="1">
        <v>1</v>
      </c>
      <c r="F220" s="1">
        <v>9</v>
      </c>
      <c r="G220" s="1" t="b">
        <v>0</v>
      </c>
      <c r="H220" s="1">
        <v>1</v>
      </c>
      <c r="I220" s="1">
        <v>2</v>
      </c>
      <c r="J220" s="1">
        <v>0.14000000000000001</v>
      </c>
      <c r="K220" t="str">
        <f t="shared" si="9"/>
        <v>Weekday</v>
      </c>
      <c r="L220" t="str">
        <f t="shared" si="10"/>
        <v>Morning</v>
      </c>
      <c r="M220" t="str">
        <f t="shared" si="11"/>
        <v>cloudy</v>
      </c>
      <c r="N220">
        <f>IFERROR(VLOOKUP(A220,Dataset2!A:Z,8,FALSE),"")</f>
        <v>31</v>
      </c>
    </row>
    <row r="221" spans="1:14" x14ac:dyDescent="0.25">
      <c r="A221" s="1">
        <v>220</v>
      </c>
      <c r="B221" s="2">
        <v>40553</v>
      </c>
      <c r="C221" s="1">
        <v>1</v>
      </c>
      <c r="D221" s="1">
        <v>0</v>
      </c>
      <c r="E221" s="1">
        <v>1</v>
      </c>
      <c r="F221" s="1">
        <v>10</v>
      </c>
      <c r="G221" s="1" t="b">
        <v>0</v>
      </c>
      <c r="H221" s="1">
        <v>1</v>
      </c>
      <c r="I221" s="1">
        <v>2</v>
      </c>
      <c r="J221" s="1">
        <v>0.14000000000000001</v>
      </c>
      <c r="K221" t="str">
        <f t="shared" si="9"/>
        <v>Weekday</v>
      </c>
      <c r="L221" t="str">
        <f t="shared" si="10"/>
        <v>Morning</v>
      </c>
      <c r="M221" t="str">
        <f t="shared" si="11"/>
        <v>cloudy</v>
      </c>
      <c r="N221">
        <f>IFERROR(VLOOKUP(A221,Dataset2!A:Z,8,FALSE),"")</f>
        <v>30</v>
      </c>
    </row>
    <row r="222" spans="1:14" x14ac:dyDescent="0.25">
      <c r="A222" s="1">
        <v>221</v>
      </c>
      <c r="B222" s="2">
        <v>40553</v>
      </c>
      <c r="C222" s="1">
        <v>1</v>
      </c>
      <c r="D222" s="1">
        <v>0</v>
      </c>
      <c r="E222" s="1">
        <v>1</v>
      </c>
      <c r="F222" s="1">
        <v>11</v>
      </c>
      <c r="G222" s="1" t="b">
        <v>0</v>
      </c>
      <c r="H222" s="1">
        <v>1</v>
      </c>
      <c r="I222" s="1">
        <v>2</v>
      </c>
      <c r="J222" s="1">
        <v>0.16</v>
      </c>
      <c r="K222" t="str">
        <f t="shared" si="9"/>
        <v>Weekday</v>
      </c>
      <c r="L222" t="str">
        <f t="shared" si="10"/>
        <v>Morning</v>
      </c>
      <c r="M222" t="str">
        <f t="shared" si="11"/>
        <v>cloudy</v>
      </c>
      <c r="N222">
        <f>IFERROR(VLOOKUP(A222,Dataset2!A:Z,8,FALSE),"")</f>
        <v>52</v>
      </c>
    </row>
    <row r="223" spans="1:14" x14ac:dyDescent="0.25">
      <c r="A223" s="1">
        <v>222</v>
      </c>
      <c r="B223" s="2">
        <v>40553</v>
      </c>
      <c r="C223" s="1">
        <v>1</v>
      </c>
      <c r="D223" s="1">
        <v>0</v>
      </c>
      <c r="E223" s="1">
        <v>1</v>
      </c>
      <c r="F223" s="1">
        <v>12</v>
      </c>
      <c r="G223" s="1" t="b">
        <v>0</v>
      </c>
      <c r="H223" s="1">
        <v>1</v>
      </c>
      <c r="I223" s="1">
        <v>2</v>
      </c>
      <c r="J223" s="1">
        <v>0.2</v>
      </c>
      <c r="K223" t="str">
        <f t="shared" si="9"/>
        <v>Weekday</v>
      </c>
      <c r="L223" t="str">
        <f t="shared" si="10"/>
        <v>Afternoon</v>
      </c>
      <c r="M223" t="str">
        <f t="shared" si="11"/>
        <v>cloudy</v>
      </c>
      <c r="N223">
        <f>IFERROR(VLOOKUP(A223,Dataset2!A:Z,8,FALSE),"")</f>
        <v>54</v>
      </c>
    </row>
    <row r="224" spans="1:14" x14ac:dyDescent="0.25">
      <c r="A224" s="1">
        <v>223</v>
      </c>
      <c r="B224" s="2">
        <v>40553</v>
      </c>
      <c r="C224" s="1">
        <v>1</v>
      </c>
      <c r="D224" s="1">
        <v>0</v>
      </c>
      <c r="E224" s="1">
        <v>1</v>
      </c>
      <c r="F224" s="1">
        <v>13</v>
      </c>
      <c r="G224" s="1" t="b">
        <v>0</v>
      </c>
      <c r="H224" s="1">
        <v>1</v>
      </c>
      <c r="I224" s="1">
        <v>2</v>
      </c>
      <c r="J224" s="1">
        <v>0.2</v>
      </c>
      <c r="K224" t="str">
        <f t="shared" si="9"/>
        <v>Weekday</v>
      </c>
      <c r="L224" t="str">
        <f t="shared" si="10"/>
        <v>Afternoon</v>
      </c>
      <c r="M224" t="str">
        <f t="shared" si="11"/>
        <v>cloudy</v>
      </c>
      <c r="N224">
        <f>IFERROR(VLOOKUP(A224,Dataset2!A:Z,8,FALSE),"")</f>
        <v>47</v>
      </c>
    </row>
    <row r="225" spans="1:14" x14ac:dyDescent="0.25">
      <c r="A225" s="1">
        <v>224</v>
      </c>
      <c r="B225" s="2">
        <v>40553</v>
      </c>
      <c r="C225" s="1">
        <v>1</v>
      </c>
      <c r="D225" s="1">
        <v>0</v>
      </c>
      <c r="E225" s="1">
        <v>1</v>
      </c>
      <c r="F225" s="1">
        <v>14</v>
      </c>
      <c r="G225" s="1" t="b">
        <v>0</v>
      </c>
      <c r="H225" s="1">
        <v>1</v>
      </c>
      <c r="I225" s="1">
        <v>2</v>
      </c>
      <c r="J225" s="1">
        <v>0.2</v>
      </c>
      <c r="K225" t="str">
        <f t="shared" si="9"/>
        <v>Weekday</v>
      </c>
      <c r="L225" t="str">
        <f t="shared" si="10"/>
        <v>Afternoon</v>
      </c>
      <c r="M225" t="str">
        <f t="shared" si="11"/>
        <v>cloudy</v>
      </c>
      <c r="N225">
        <f>IFERROR(VLOOKUP(A225,Dataset2!A:Z,8,FALSE),"")</f>
        <v>45</v>
      </c>
    </row>
    <row r="226" spans="1:14" x14ac:dyDescent="0.25">
      <c r="A226" s="1">
        <v>225</v>
      </c>
      <c r="B226" s="2">
        <v>40553</v>
      </c>
      <c r="C226" s="1">
        <v>1</v>
      </c>
      <c r="D226" s="1">
        <v>0</v>
      </c>
      <c r="E226" s="1">
        <v>1</v>
      </c>
      <c r="F226" s="1">
        <v>15</v>
      </c>
      <c r="G226" s="1" t="b">
        <v>0</v>
      </c>
      <c r="H226" s="1">
        <v>1</v>
      </c>
      <c r="I226" s="1">
        <v>2</v>
      </c>
      <c r="J226" s="1">
        <v>0.2</v>
      </c>
      <c r="K226" t="str">
        <f t="shared" si="9"/>
        <v>Weekday</v>
      </c>
      <c r="L226" t="str">
        <f t="shared" si="10"/>
        <v>Afternoon</v>
      </c>
      <c r="M226" t="str">
        <f t="shared" si="11"/>
        <v>cloudy</v>
      </c>
      <c r="N226">
        <f>IFERROR(VLOOKUP(A226,Dataset2!A:Z,8,FALSE),"")</f>
        <v>74</v>
      </c>
    </row>
    <row r="227" spans="1:14" x14ac:dyDescent="0.25">
      <c r="A227" s="1">
        <v>226</v>
      </c>
      <c r="B227" s="2">
        <v>40553</v>
      </c>
      <c r="C227" s="1">
        <v>1</v>
      </c>
      <c r="D227" s="1">
        <v>0</v>
      </c>
      <c r="E227" s="1">
        <v>1</v>
      </c>
      <c r="F227" s="1">
        <v>16</v>
      </c>
      <c r="G227" s="1" t="b">
        <v>0</v>
      </c>
      <c r="H227" s="1">
        <v>1</v>
      </c>
      <c r="I227" s="1">
        <v>1</v>
      </c>
      <c r="J227" s="1">
        <v>0.2</v>
      </c>
      <c r="K227" t="str">
        <f t="shared" si="9"/>
        <v>Weekday</v>
      </c>
      <c r="L227" t="str">
        <f t="shared" si="10"/>
        <v>Afternoon</v>
      </c>
      <c r="M227" t="str">
        <f t="shared" si="11"/>
        <v>Clear</v>
      </c>
      <c r="N227">
        <f>IFERROR(VLOOKUP(A227,Dataset2!A:Z,8,FALSE),"")</f>
        <v>178</v>
      </c>
    </row>
    <row r="228" spans="1:14" x14ac:dyDescent="0.25">
      <c r="A228" s="1">
        <v>227</v>
      </c>
      <c r="B228" s="2">
        <v>40553</v>
      </c>
      <c r="C228" s="1">
        <v>1</v>
      </c>
      <c r="D228" s="1">
        <v>0</v>
      </c>
      <c r="E228" s="1">
        <v>1</v>
      </c>
      <c r="F228" s="1">
        <v>17</v>
      </c>
      <c r="G228" s="1" t="b">
        <v>0</v>
      </c>
      <c r="H228" s="1">
        <v>1</v>
      </c>
      <c r="I228" s="1">
        <v>1</v>
      </c>
      <c r="J228" s="1">
        <v>0.2</v>
      </c>
      <c r="K228" t="str">
        <f t="shared" si="9"/>
        <v>Weekday</v>
      </c>
      <c r="L228" t="str">
        <f t="shared" si="10"/>
        <v>Afternoon</v>
      </c>
      <c r="M228" t="str">
        <f t="shared" si="11"/>
        <v>Clear</v>
      </c>
      <c r="N228">
        <f>IFERROR(VLOOKUP(A228,Dataset2!A:Z,8,FALSE),"")</f>
        <v>155</v>
      </c>
    </row>
    <row r="229" spans="1:14" x14ac:dyDescent="0.25">
      <c r="A229" s="1">
        <v>228</v>
      </c>
      <c r="B229" s="2">
        <v>40553</v>
      </c>
      <c r="C229" s="1">
        <v>1</v>
      </c>
      <c r="D229" s="1">
        <v>0</v>
      </c>
      <c r="E229" s="1">
        <v>1</v>
      </c>
      <c r="F229" s="1">
        <v>18</v>
      </c>
      <c r="G229" s="1" t="b">
        <v>0</v>
      </c>
      <c r="H229" s="1">
        <v>1</v>
      </c>
      <c r="I229" s="1">
        <v>1</v>
      </c>
      <c r="J229" s="1">
        <v>0.2</v>
      </c>
      <c r="K229" t="str">
        <f t="shared" si="9"/>
        <v>Weekday</v>
      </c>
      <c r="L229" t="str">
        <f t="shared" si="10"/>
        <v>Evening</v>
      </c>
      <c r="M229" t="str">
        <f t="shared" si="11"/>
        <v>Clear</v>
      </c>
      <c r="N229">
        <f>IFERROR(VLOOKUP(A229,Dataset2!A:Z,8,FALSE),"")</f>
        <v>95</v>
      </c>
    </row>
    <row r="230" spans="1:14" x14ac:dyDescent="0.25">
      <c r="A230" s="1">
        <v>229</v>
      </c>
      <c r="B230" s="2">
        <v>40553</v>
      </c>
      <c r="C230" s="1">
        <v>1</v>
      </c>
      <c r="D230" s="1">
        <v>0</v>
      </c>
      <c r="E230" s="1">
        <v>1</v>
      </c>
      <c r="F230" s="1">
        <v>19</v>
      </c>
      <c r="G230" s="1" t="b">
        <v>0</v>
      </c>
      <c r="H230" s="1">
        <v>1</v>
      </c>
      <c r="I230" s="1">
        <v>1</v>
      </c>
      <c r="J230" s="1">
        <v>0.16</v>
      </c>
      <c r="K230" t="str">
        <f t="shared" si="9"/>
        <v>Weekday</v>
      </c>
      <c r="L230" t="str">
        <f t="shared" si="10"/>
        <v>Evening</v>
      </c>
      <c r="M230" t="str">
        <f t="shared" si="11"/>
        <v>Clear</v>
      </c>
      <c r="N230">
        <f>IFERROR(VLOOKUP(A230,Dataset2!A:Z,8,FALSE),"")</f>
        <v>74</v>
      </c>
    </row>
    <row r="231" spans="1:14" x14ac:dyDescent="0.25">
      <c r="A231" s="1">
        <v>230</v>
      </c>
      <c r="B231" s="2">
        <v>40553</v>
      </c>
      <c r="C231" s="1">
        <v>1</v>
      </c>
      <c r="D231" s="1">
        <v>0</v>
      </c>
      <c r="E231" s="1">
        <v>1</v>
      </c>
      <c r="F231" s="1">
        <v>20</v>
      </c>
      <c r="G231" s="1" t="b">
        <v>0</v>
      </c>
      <c r="H231" s="1">
        <v>1</v>
      </c>
      <c r="I231" s="1">
        <v>1</v>
      </c>
      <c r="J231" s="1">
        <v>0.16</v>
      </c>
      <c r="K231" t="str">
        <f t="shared" si="9"/>
        <v>Weekday</v>
      </c>
      <c r="L231" t="str">
        <f t="shared" si="10"/>
        <v>Evening</v>
      </c>
      <c r="M231" t="str">
        <f t="shared" si="11"/>
        <v>Clear</v>
      </c>
      <c r="N231">
        <f>IFERROR(VLOOKUP(A231,Dataset2!A:Z,8,FALSE),"")</f>
        <v>38</v>
      </c>
    </row>
    <row r="232" spans="1:14" x14ac:dyDescent="0.25">
      <c r="A232" s="1">
        <v>231</v>
      </c>
      <c r="B232" s="2">
        <v>40553</v>
      </c>
      <c r="C232" s="1">
        <v>1</v>
      </c>
      <c r="D232" s="1">
        <v>0</v>
      </c>
      <c r="E232" s="1">
        <v>1</v>
      </c>
      <c r="F232" s="1">
        <v>21</v>
      </c>
      <c r="G232" s="1" t="b">
        <v>0</v>
      </c>
      <c r="H232" s="1">
        <v>1</v>
      </c>
      <c r="I232" s="1">
        <v>1</v>
      </c>
      <c r="J232" s="1">
        <v>0.14000000000000001</v>
      </c>
      <c r="K232" t="str">
        <f t="shared" si="9"/>
        <v>Weekday</v>
      </c>
      <c r="L232" t="str">
        <f t="shared" si="10"/>
        <v>Evening</v>
      </c>
      <c r="M232" t="str">
        <f t="shared" si="11"/>
        <v>Clear</v>
      </c>
      <c r="N232">
        <f>IFERROR(VLOOKUP(A232,Dataset2!A:Z,8,FALSE),"")</f>
        <v>24</v>
      </c>
    </row>
    <row r="233" spans="1:14" x14ac:dyDescent="0.25">
      <c r="A233" s="1">
        <v>232</v>
      </c>
      <c r="B233" s="2">
        <v>40553</v>
      </c>
      <c r="C233" s="1">
        <v>1</v>
      </c>
      <c r="D233" s="1">
        <v>0</v>
      </c>
      <c r="E233" s="1">
        <v>1</v>
      </c>
      <c r="F233" s="1">
        <v>22</v>
      </c>
      <c r="G233" s="1" t="b">
        <v>0</v>
      </c>
      <c r="H233" s="1">
        <v>1</v>
      </c>
      <c r="I233" s="1">
        <v>1</v>
      </c>
      <c r="J233" s="1">
        <v>0.14000000000000001</v>
      </c>
      <c r="K233" t="str">
        <f t="shared" si="9"/>
        <v>Weekday</v>
      </c>
      <c r="L233" t="str">
        <f t="shared" si="10"/>
        <v>Evening</v>
      </c>
      <c r="M233" t="str">
        <f t="shared" si="11"/>
        <v>Clear</v>
      </c>
      <c r="N233">
        <f>IFERROR(VLOOKUP(A233,Dataset2!A:Z,8,FALSE),"")</f>
        <v>18</v>
      </c>
    </row>
    <row r="234" spans="1:14" x14ac:dyDescent="0.25">
      <c r="A234" s="1">
        <v>233</v>
      </c>
      <c r="B234" s="2">
        <v>40553</v>
      </c>
      <c r="C234" s="1">
        <v>1</v>
      </c>
      <c r="D234" s="1">
        <v>0</v>
      </c>
      <c r="E234" s="1">
        <v>1</v>
      </c>
      <c r="F234" s="1">
        <v>23</v>
      </c>
      <c r="G234" s="1" t="b">
        <v>0</v>
      </c>
      <c r="H234" s="1">
        <v>1</v>
      </c>
      <c r="I234" s="1">
        <v>1</v>
      </c>
      <c r="J234" s="1">
        <v>0.14000000000000001</v>
      </c>
      <c r="K234" t="str">
        <f t="shared" si="9"/>
        <v>Weekday</v>
      </c>
      <c r="L234" t="str">
        <f t="shared" si="10"/>
        <v>Evening</v>
      </c>
      <c r="M234" t="str">
        <f t="shared" si="11"/>
        <v>Clear</v>
      </c>
      <c r="N234">
        <f>IFERROR(VLOOKUP(A234,Dataset2!A:Z,8,FALSE),"")</f>
        <v>12</v>
      </c>
    </row>
    <row r="235" spans="1:14" x14ac:dyDescent="0.25">
      <c r="A235" s="1">
        <v>234</v>
      </c>
      <c r="B235" s="2">
        <v>40554</v>
      </c>
      <c r="C235" s="1">
        <v>1</v>
      </c>
      <c r="D235" s="1">
        <v>0</v>
      </c>
      <c r="E235" s="1">
        <v>1</v>
      </c>
      <c r="F235" s="1">
        <v>0</v>
      </c>
      <c r="G235" s="1" t="b">
        <v>0</v>
      </c>
      <c r="H235" s="1">
        <v>2</v>
      </c>
      <c r="I235" s="1">
        <v>1</v>
      </c>
      <c r="J235" s="1">
        <v>0.14000000000000001</v>
      </c>
      <c r="K235" t="str">
        <f t="shared" si="9"/>
        <v>Weekday</v>
      </c>
      <c r="L235" t="str">
        <f t="shared" si="10"/>
        <v>Morning</v>
      </c>
      <c r="M235" t="str">
        <f t="shared" si="11"/>
        <v>Clear</v>
      </c>
      <c r="N235">
        <f>IFERROR(VLOOKUP(A235,Dataset2!A:Z,8,FALSE),"")</f>
        <v>3</v>
      </c>
    </row>
    <row r="236" spans="1:14" x14ac:dyDescent="0.25">
      <c r="A236" s="1">
        <v>235</v>
      </c>
      <c r="B236" s="2">
        <v>40554</v>
      </c>
      <c r="C236" s="1">
        <v>1</v>
      </c>
      <c r="D236" s="1">
        <v>0</v>
      </c>
      <c r="E236" s="1">
        <v>1</v>
      </c>
      <c r="F236" s="1">
        <v>1</v>
      </c>
      <c r="G236" s="1" t="b">
        <v>0</v>
      </c>
      <c r="H236" s="1">
        <v>2</v>
      </c>
      <c r="I236" s="1">
        <v>1</v>
      </c>
      <c r="J236" s="1">
        <v>0.14000000000000001</v>
      </c>
      <c r="K236" t="str">
        <f t="shared" si="9"/>
        <v>Weekday</v>
      </c>
      <c r="L236" t="str">
        <f t="shared" si="10"/>
        <v>Morning</v>
      </c>
      <c r="M236" t="str">
        <f t="shared" si="11"/>
        <v>Clear</v>
      </c>
      <c r="N236">
        <f>IFERROR(VLOOKUP(A236,Dataset2!A:Z,8,FALSE),"")</f>
        <v>3</v>
      </c>
    </row>
    <row r="237" spans="1:14" x14ac:dyDescent="0.25">
      <c r="A237" s="1">
        <v>236</v>
      </c>
      <c r="B237" s="2">
        <v>40554</v>
      </c>
      <c r="C237" s="1">
        <v>1</v>
      </c>
      <c r="D237" s="1">
        <v>0</v>
      </c>
      <c r="E237" s="1">
        <v>1</v>
      </c>
      <c r="F237" s="1">
        <v>2</v>
      </c>
      <c r="G237" s="1" t="b">
        <v>0</v>
      </c>
      <c r="H237" s="1">
        <v>2</v>
      </c>
      <c r="I237" s="1">
        <v>2</v>
      </c>
      <c r="J237" s="1">
        <v>0.16</v>
      </c>
      <c r="K237" t="str">
        <f t="shared" si="9"/>
        <v>Weekday</v>
      </c>
      <c r="L237" t="str">
        <f t="shared" si="10"/>
        <v>Morning</v>
      </c>
      <c r="M237" t="str">
        <f t="shared" si="11"/>
        <v>cloudy</v>
      </c>
      <c r="N237">
        <f>IFERROR(VLOOKUP(A237,Dataset2!A:Z,8,FALSE),"")</f>
        <v>6</v>
      </c>
    </row>
    <row r="238" spans="1:14" x14ac:dyDescent="0.25">
      <c r="A238" s="1">
        <v>237</v>
      </c>
      <c r="B238" s="2">
        <v>40554</v>
      </c>
      <c r="C238" s="1">
        <v>1</v>
      </c>
      <c r="D238" s="1">
        <v>0</v>
      </c>
      <c r="E238" s="1">
        <v>1</v>
      </c>
      <c r="F238" s="1">
        <v>5</v>
      </c>
      <c r="G238" s="1" t="b">
        <v>0</v>
      </c>
      <c r="H238" s="1">
        <v>2</v>
      </c>
      <c r="I238" s="1">
        <v>2</v>
      </c>
      <c r="J238" s="1">
        <v>0.16</v>
      </c>
      <c r="K238" t="str">
        <f t="shared" si="9"/>
        <v>Weekday</v>
      </c>
      <c r="L238" t="str">
        <f t="shared" si="10"/>
        <v>Morning</v>
      </c>
      <c r="M238" t="str">
        <f t="shared" si="11"/>
        <v>cloudy</v>
      </c>
      <c r="N238">
        <f>IFERROR(VLOOKUP(A238,Dataset2!A:Z,8,FALSE),"")</f>
        <v>27</v>
      </c>
    </row>
    <row r="239" spans="1:14" x14ac:dyDescent="0.25">
      <c r="A239" s="1">
        <v>238</v>
      </c>
      <c r="B239" s="2">
        <v>40554</v>
      </c>
      <c r="C239" s="1">
        <v>1</v>
      </c>
      <c r="D239" s="1">
        <v>0</v>
      </c>
      <c r="E239" s="1">
        <v>1</v>
      </c>
      <c r="F239" s="1">
        <v>6</v>
      </c>
      <c r="G239" s="1" t="b">
        <v>0</v>
      </c>
      <c r="H239" s="1">
        <v>2</v>
      </c>
      <c r="I239" s="1">
        <v>2</v>
      </c>
      <c r="J239" s="1">
        <v>0.16</v>
      </c>
      <c r="K239" t="str">
        <f t="shared" si="9"/>
        <v>Weekday</v>
      </c>
      <c r="L239" t="str">
        <f t="shared" si="10"/>
        <v>Morning</v>
      </c>
      <c r="M239" t="str">
        <f t="shared" si="11"/>
        <v>cloudy</v>
      </c>
      <c r="N239">
        <f>IFERROR(VLOOKUP(A239,Dataset2!A:Z,8,FALSE),"")</f>
        <v>99</v>
      </c>
    </row>
    <row r="240" spans="1:14" x14ac:dyDescent="0.25">
      <c r="A240" s="1">
        <v>239</v>
      </c>
      <c r="B240" s="2">
        <v>40554</v>
      </c>
      <c r="C240" s="1">
        <v>1</v>
      </c>
      <c r="D240" s="1">
        <v>0</v>
      </c>
      <c r="E240" s="1">
        <v>1</v>
      </c>
      <c r="F240" s="1">
        <v>7</v>
      </c>
      <c r="G240" s="1" t="b">
        <v>0</v>
      </c>
      <c r="H240" s="1">
        <v>2</v>
      </c>
      <c r="I240" s="1">
        <v>2</v>
      </c>
      <c r="J240" s="1">
        <v>0.16</v>
      </c>
      <c r="K240" t="str">
        <f t="shared" si="9"/>
        <v>Weekday</v>
      </c>
      <c r="L240" t="str">
        <f t="shared" si="10"/>
        <v>Morning</v>
      </c>
      <c r="M240" t="str">
        <f t="shared" si="11"/>
        <v>cloudy</v>
      </c>
      <c r="N240">
        <f>IFERROR(VLOOKUP(A240,Dataset2!A:Z,8,FALSE),"")</f>
        <v>217</v>
      </c>
    </row>
    <row r="241" spans="1:14" x14ac:dyDescent="0.25">
      <c r="A241" s="1">
        <v>240</v>
      </c>
      <c r="B241" s="2">
        <v>40554</v>
      </c>
      <c r="C241" s="1">
        <v>1</v>
      </c>
      <c r="D241" s="1">
        <v>0</v>
      </c>
      <c r="E241" s="1">
        <v>1</v>
      </c>
      <c r="F241" s="1">
        <v>8</v>
      </c>
      <c r="G241" s="1" t="b">
        <v>0</v>
      </c>
      <c r="H241" s="1">
        <v>2</v>
      </c>
      <c r="I241" s="1">
        <v>2</v>
      </c>
      <c r="J241" s="1">
        <v>0.18</v>
      </c>
      <c r="K241" t="str">
        <f t="shared" si="9"/>
        <v>Weekday</v>
      </c>
      <c r="L241" t="str">
        <f t="shared" si="10"/>
        <v>Morning</v>
      </c>
      <c r="M241" t="str">
        <f t="shared" si="11"/>
        <v>cloudy</v>
      </c>
      <c r="N241">
        <f>IFERROR(VLOOKUP(A241,Dataset2!A:Z,8,FALSE),"")</f>
        <v>130</v>
      </c>
    </row>
    <row r="242" spans="1:14" x14ac:dyDescent="0.25">
      <c r="A242" s="1">
        <v>241</v>
      </c>
      <c r="B242" s="2">
        <v>40554</v>
      </c>
      <c r="C242" s="1">
        <v>1</v>
      </c>
      <c r="D242" s="1">
        <v>0</v>
      </c>
      <c r="E242" s="1">
        <v>1</v>
      </c>
      <c r="F242" s="1">
        <v>9</v>
      </c>
      <c r="G242" s="1" t="b">
        <v>0</v>
      </c>
      <c r="H242" s="1">
        <v>2</v>
      </c>
      <c r="I242" s="1">
        <v>2</v>
      </c>
      <c r="J242" s="1">
        <v>0.18</v>
      </c>
      <c r="K242" t="str">
        <f t="shared" si="9"/>
        <v>Weekday</v>
      </c>
      <c r="L242" t="str">
        <f t="shared" si="10"/>
        <v>Morning</v>
      </c>
      <c r="M242" t="str">
        <f t="shared" si="11"/>
        <v>cloudy</v>
      </c>
      <c r="N242">
        <f>IFERROR(VLOOKUP(A242,Dataset2!A:Z,8,FALSE),"")</f>
        <v>54</v>
      </c>
    </row>
    <row r="243" spans="1:14" x14ac:dyDescent="0.25">
      <c r="A243" s="1">
        <v>242</v>
      </c>
      <c r="B243" s="2">
        <v>40554</v>
      </c>
      <c r="C243" s="1">
        <v>1</v>
      </c>
      <c r="D243" s="1">
        <v>0</v>
      </c>
      <c r="E243" s="1">
        <v>1</v>
      </c>
      <c r="F243" s="1">
        <v>10</v>
      </c>
      <c r="G243" s="1" t="b">
        <v>0</v>
      </c>
      <c r="H243" s="1">
        <v>2</v>
      </c>
      <c r="I243" s="1">
        <v>2</v>
      </c>
      <c r="J243" s="1">
        <v>0.2</v>
      </c>
      <c r="K243" t="str">
        <f t="shared" si="9"/>
        <v>Weekday</v>
      </c>
      <c r="L243" t="str">
        <f t="shared" si="10"/>
        <v>Morning</v>
      </c>
      <c r="M243" t="str">
        <f t="shared" si="11"/>
        <v>cloudy</v>
      </c>
      <c r="N243">
        <f>IFERROR(VLOOKUP(A243,Dataset2!A:Z,8,FALSE),"")</f>
        <v>35</v>
      </c>
    </row>
    <row r="244" spans="1:14" x14ac:dyDescent="0.25">
      <c r="A244" s="1">
        <v>243</v>
      </c>
      <c r="B244" s="2">
        <v>40554</v>
      </c>
      <c r="C244" s="1">
        <v>1</v>
      </c>
      <c r="D244" s="1">
        <v>0</v>
      </c>
      <c r="E244" s="1">
        <v>1</v>
      </c>
      <c r="F244" s="1">
        <v>11</v>
      </c>
      <c r="G244" s="1" t="b">
        <v>0</v>
      </c>
      <c r="H244" s="1">
        <v>2</v>
      </c>
      <c r="I244" s="1">
        <v>2</v>
      </c>
      <c r="J244" s="1">
        <v>0.2</v>
      </c>
      <c r="K244" t="str">
        <f t="shared" si="9"/>
        <v>Weekday</v>
      </c>
      <c r="L244" t="str">
        <f t="shared" si="10"/>
        <v>Morning</v>
      </c>
      <c r="M244" t="str">
        <f t="shared" si="11"/>
        <v>cloudy</v>
      </c>
      <c r="N244">
        <f>IFERROR(VLOOKUP(A244,Dataset2!A:Z,8,FALSE),"")</f>
        <v>57</v>
      </c>
    </row>
    <row r="245" spans="1:14" x14ac:dyDescent="0.25">
      <c r="A245" s="1">
        <v>244</v>
      </c>
      <c r="B245" s="2">
        <v>40554</v>
      </c>
      <c r="C245" s="1">
        <v>1</v>
      </c>
      <c r="D245" s="1">
        <v>0</v>
      </c>
      <c r="E245" s="1">
        <v>1</v>
      </c>
      <c r="F245" s="1">
        <v>12</v>
      </c>
      <c r="G245" s="1" t="b">
        <v>0</v>
      </c>
      <c r="H245" s="1">
        <v>2</v>
      </c>
      <c r="I245" s="1">
        <v>2</v>
      </c>
      <c r="J245" s="1">
        <v>0.2</v>
      </c>
      <c r="K245" t="str">
        <f t="shared" si="9"/>
        <v>Weekday</v>
      </c>
      <c r="L245" t="str">
        <f t="shared" si="10"/>
        <v>Afternoon</v>
      </c>
      <c r="M245" t="str">
        <f t="shared" si="11"/>
        <v>cloudy</v>
      </c>
      <c r="N245">
        <f>IFERROR(VLOOKUP(A245,Dataset2!A:Z,8,FALSE),"")</f>
        <v>52</v>
      </c>
    </row>
    <row r="246" spans="1:14" x14ac:dyDescent="0.25">
      <c r="A246" s="1">
        <v>245</v>
      </c>
      <c r="B246" s="2">
        <v>40554</v>
      </c>
      <c r="C246" s="1">
        <v>1</v>
      </c>
      <c r="D246" s="1">
        <v>0</v>
      </c>
      <c r="E246" s="1">
        <v>1</v>
      </c>
      <c r="F246" s="1">
        <v>13</v>
      </c>
      <c r="G246" s="1" t="b">
        <v>0</v>
      </c>
      <c r="H246" s="1">
        <v>2</v>
      </c>
      <c r="I246" s="1">
        <v>2</v>
      </c>
      <c r="J246" s="1">
        <v>0.2</v>
      </c>
      <c r="K246" t="str">
        <f t="shared" si="9"/>
        <v>Weekday</v>
      </c>
      <c r="L246" t="str">
        <f t="shared" si="10"/>
        <v>Afternoon</v>
      </c>
      <c r="M246" t="str">
        <f t="shared" si="11"/>
        <v>cloudy</v>
      </c>
      <c r="N246">
        <f>IFERROR(VLOOKUP(A246,Dataset2!A:Z,8,FALSE),"")</f>
        <v>63</v>
      </c>
    </row>
    <row r="247" spans="1:14" x14ac:dyDescent="0.25">
      <c r="A247" s="1">
        <v>246</v>
      </c>
      <c r="B247" s="2">
        <v>40554</v>
      </c>
      <c r="C247" s="1">
        <v>1</v>
      </c>
      <c r="D247" s="1">
        <v>0</v>
      </c>
      <c r="E247" s="1">
        <v>1</v>
      </c>
      <c r="F247" s="1">
        <v>14</v>
      </c>
      <c r="G247" s="1" t="b">
        <v>0</v>
      </c>
      <c r="H247" s="1">
        <v>2</v>
      </c>
      <c r="I247" s="1">
        <v>2</v>
      </c>
      <c r="J247" s="1">
        <v>0.2</v>
      </c>
      <c r="K247" t="str">
        <f t="shared" si="9"/>
        <v>Weekday</v>
      </c>
      <c r="L247" t="str">
        <f t="shared" si="10"/>
        <v>Afternoon</v>
      </c>
      <c r="M247" t="str">
        <f t="shared" si="11"/>
        <v>cloudy</v>
      </c>
      <c r="N247">
        <f>IFERROR(VLOOKUP(A247,Dataset2!A:Z,8,FALSE),"")</f>
        <v>47</v>
      </c>
    </row>
    <row r="248" spans="1:14" x14ac:dyDescent="0.25">
      <c r="A248" s="1">
        <v>247</v>
      </c>
      <c r="B248" s="2">
        <v>40554</v>
      </c>
      <c r="C248" s="1">
        <v>1</v>
      </c>
      <c r="D248" s="1">
        <v>0</v>
      </c>
      <c r="E248" s="1">
        <v>1</v>
      </c>
      <c r="F248" s="1">
        <v>15</v>
      </c>
      <c r="G248" s="1" t="b">
        <v>0</v>
      </c>
      <c r="H248" s="1">
        <v>2</v>
      </c>
      <c r="I248" s="1">
        <v>2</v>
      </c>
      <c r="J248" s="1">
        <v>0.16</v>
      </c>
      <c r="K248" t="str">
        <f t="shared" si="9"/>
        <v>Weekday</v>
      </c>
      <c r="L248" t="str">
        <f t="shared" si="10"/>
        <v>Afternoon</v>
      </c>
      <c r="M248" t="str">
        <f t="shared" si="11"/>
        <v>cloudy</v>
      </c>
      <c r="N248">
        <f>IFERROR(VLOOKUP(A248,Dataset2!A:Z,8,FALSE),"")</f>
        <v>76</v>
      </c>
    </row>
    <row r="249" spans="1:14" x14ac:dyDescent="0.25">
      <c r="A249" s="1">
        <v>248</v>
      </c>
      <c r="B249" s="2">
        <v>40554</v>
      </c>
      <c r="C249" s="1">
        <v>1</v>
      </c>
      <c r="D249" s="1">
        <v>0</v>
      </c>
      <c r="E249" s="1">
        <v>1</v>
      </c>
      <c r="F249" s="1">
        <v>16</v>
      </c>
      <c r="G249" s="1" t="b">
        <v>0</v>
      </c>
      <c r="H249" s="1">
        <v>2</v>
      </c>
      <c r="I249" s="1">
        <v>2</v>
      </c>
      <c r="J249" s="1">
        <v>0.16</v>
      </c>
      <c r="K249" t="str">
        <f t="shared" si="9"/>
        <v>Weekday</v>
      </c>
      <c r="L249" t="str">
        <f t="shared" si="10"/>
        <v>Afternoon</v>
      </c>
      <c r="M249" t="str">
        <f t="shared" si="11"/>
        <v>cloudy</v>
      </c>
      <c r="N249">
        <f>IFERROR(VLOOKUP(A249,Dataset2!A:Z,8,FALSE),"")</f>
        <v>136</v>
      </c>
    </row>
    <row r="250" spans="1:14" x14ac:dyDescent="0.25">
      <c r="A250" s="1">
        <v>249</v>
      </c>
      <c r="B250" s="2">
        <v>40554</v>
      </c>
      <c r="C250" s="1">
        <v>1</v>
      </c>
      <c r="D250" s="1">
        <v>0</v>
      </c>
      <c r="E250" s="1">
        <v>1</v>
      </c>
      <c r="F250" s="1">
        <v>17</v>
      </c>
      <c r="G250" s="1" t="b">
        <v>0</v>
      </c>
      <c r="H250" s="1">
        <v>2</v>
      </c>
      <c r="I250" s="1">
        <v>2</v>
      </c>
      <c r="J250" s="1">
        <v>0.16</v>
      </c>
      <c r="K250" t="str">
        <f t="shared" si="9"/>
        <v>Weekday</v>
      </c>
      <c r="L250" t="str">
        <f t="shared" si="10"/>
        <v>Afternoon</v>
      </c>
      <c r="M250" t="str">
        <f t="shared" si="11"/>
        <v>cloudy</v>
      </c>
      <c r="N250">
        <f>IFERROR(VLOOKUP(A250,Dataset2!A:Z,8,FALSE),"")</f>
        <v>95</v>
      </c>
    </row>
    <row r="251" spans="1:14" x14ac:dyDescent="0.25">
      <c r="A251" s="1">
        <v>250</v>
      </c>
      <c r="B251" s="2">
        <v>40554</v>
      </c>
      <c r="C251" s="1">
        <v>1</v>
      </c>
      <c r="D251" s="1">
        <v>0</v>
      </c>
      <c r="E251" s="1">
        <v>1</v>
      </c>
      <c r="F251" s="1">
        <v>18</v>
      </c>
      <c r="G251" s="1" t="b">
        <v>0</v>
      </c>
      <c r="H251" s="1">
        <v>2</v>
      </c>
      <c r="I251" s="1">
        <v>3</v>
      </c>
      <c r="J251" s="1">
        <v>0.16</v>
      </c>
      <c r="K251" t="str">
        <f t="shared" si="9"/>
        <v>Weekday</v>
      </c>
      <c r="L251" t="str">
        <f t="shared" si="10"/>
        <v>Evening</v>
      </c>
      <c r="M251" t="str">
        <f t="shared" si="11"/>
        <v>Rain</v>
      </c>
      <c r="N251">
        <f>IFERROR(VLOOKUP(A251,Dataset2!A:Z,8,FALSE),"")</f>
        <v>51</v>
      </c>
    </row>
    <row r="252" spans="1:14" x14ac:dyDescent="0.25">
      <c r="A252" s="1">
        <v>251</v>
      </c>
      <c r="B252" s="2">
        <v>40554</v>
      </c>
      <c r="C252" s="1">
        <v>1</v>
      </c>
      <c r="D252" s="1">
        <v>0</v>
      </c>
      <c r="E252" s="1">
        <v>1</v>
      </c>
      <c r="F252" s="1">
        <v>19</v>
      </c>
      <c r="G252" s="1" t="b">
        <v>0</v>
      </c>
      <c r="H252" s="1">
        <v>2</v>
      </c>
      <c r="I252" s="1">
        <v>3</v>
      </c>
      <c r="J252" s="1">
        <v>0.16</v>
      </c>
      <c r="K252" t="str">
        <f t="shared" si="9"/>
        <v>Weekday</v>
      </c>
      <c r="L252" t="str">
        <f t="shared" si="10"/>
        <v>Evening</v>
      </c>
      <c r="M252" t="str">
        <f t="shared" si="11"/>
        <v>Rain</v>
      </c>
      <c r="N252">
        <f>IFERROR(VLOOKUP(A252,Dataset2!A:Z,8,FALSE),"")</f>
        <v>32</v>
      </c>
    </row>
    <row r="253" spans="1:14" x14ac:dyDescent="0.25">
      <c r="A253" s="1">
        <v>252</v>
      </c>
      <c r="B253" s="2">
        <v>40554</v>
      </c>
      <c r="C253" s="1">
        <v>1</v>
      </c>
      <c r="D253" s="1">
        <v>0</v>
      </c>
      <c r="E253" s="1">
        <v>1</v>
      </c>
      <c r="F253" s="1">
        <v>20</v>
      </c>
      <c r="G253" s="1" t="b">
        <v>0</v>
      </c>
      <c r="H253" s="1">
        <v>2</v>
      </c>
      <c r="I253" s="1">
        <v>3</v>
      </c>
      <c r="J253" s="1">
        <v>0.16</v>
      </c>
      <c r="K253" t="str">
        <f t="shared" si="9"/>
        <v>Weekday</v>
      </c>
      <c r="L253" t="str">
        <f t="shared" si="10"/>
        <v>Evening</v>
      </c>
      <c r="M253" t="str">
        <f t="shared" si="11"/>
        <v>Rain</v>
      </c>
      <c r="N253">
        <f>IFERROR(VLOOKUP(A253,Dataset2!A:Z,8,FALSE),"")</f>
        <v>20</v>
      </c>
    </row>
    <row r="254" spans="1:14" x14ac:dyDescent="0.25">
      <c r="A254" s="1">
        <v>253</v>
      </c>
      <c r="B254" s="2">
        <v>40554</v>
      </c>
      <c r="C254" s="1">
        <v>1</v>
      </c>
      <c r="D254" s="1">
        <v>0</v>
      </c>
      <c r="E254" s="1">
        <v>1</v>
      </c>
      <c r="F254" s="1">
        <v>21</v>
      </c>
      <c r="G254" s="1" t="b">
        <v>0</v>
      </c>
      <c r="H254" s="1">
        <v>2</v>
      </c>
      <c r="I254" s="1">
        <v>3</v>
      </c>
      <c r="J254" s="1">
        <v>0.16</v>
      </c>
      <c r="K254" t="str">
        <f t="shared" si="9"/>
        <v>Weekday</v>
      </c>
      <c r="L254" t="str">
        <f t="shared" si="10"/>
        <v>Evening</v>
      </c>
      <c r="M254" t="str">
        <f t="shared" si="11"/>
        <v>Rain</v>
      </c>
      <c r="N254">
        <f>IFERROR(VLOOKUP(A254,Dataset2!A:Z,8,FALSE),"")</f>
        <v>29</v>
      </c>
    </row>
    <row r="255" spans="1:14" x14ac:dyDescent="0.25">
      <c r="A255" s="1">
        <v>254</v>
      </c>
      <c r="B255" s="2">
        <v>40554</v>
      </c>
      <c r="C255" s="1">
        <v>1</v>
      </c>
      <c r="D255" s="1">
        <v>0</v>
      </c>
      <c r="E255" s="1">
        <v>1</v>
      </c>
      <c r="F255" s="1">
        <v>22</v>
      </c>
      <c r="G255" s="1" t="b">
        <v>0</v>
      </c>
      <c r="H255" s="1">
        <v>2</v>
      </c>
      <c r="I255" s="1">
        <v>3</v>
      </c>
      <c r="J255" s="1">
        <v>0.16</v>
      </c>
      <c r="K255" t="str">
        <f t="shared" si="9"/>
        <v>Weekday</v>
      </c>
      <c r="L255" t="str">
        <f t="shared" si="10"/>
        <v>Evening</v>
      </c>
      <c r="M255" t="str">
        <f t="shared" si="11"/>
        <v>Rain</v>
      </c>
      <c r="N255">
        <f>IFERROR(VLOOKUP(A255,Dataset2!A:Z,8,FALSE),"")</f>
        <v>19</v>
      </c>
    </row>
    <row r="256" spans="1:14" x14ac:dyDescent="0.25">
      <c r="A256" s="1">
        <v>255</v>
      </c>
      <c r="B256" s="2">
        <v>40554</v>
      </c>
      <c r="C256" s="1">
        <v>1</v>
      </c>
      <c r="D256" s="1">
        <v>0</v>
      </c>
      <c r="E256" s="1">
        <v>1</v>
      </c>
      <c r="F256" s="1">
        <v>23</v>
      </c>
      <c r="G256" s="1" t="b">
        <v>0</v>
      </c>
      <c r="H256" s="1">
        <v>2</v>
      </c>
      <c r="I256" s="1">
        <v>3</v>
      </c>
      <c r="J256" s="1">
        <v>0.16</v>
      </c>
      <c r="K256" t="str">
        <f t="shared" si="9"/>
        <v>Weekday</v>
      </c>
      <c r="L256" t="str">
        <f t="shared" si="10"/>
        <v>Evening</v>
      </c>
      <c r="M256" t="str">
        <f t="shared" si="11"/>
        <v>Rain</v>
      </c>
      <c r="N256">
        <f>IFERROR(VLOOKUP(A256,Dataset2!A:Z,8,FALSE),"")</f>
        <v>7</v>
      </c>
    </row>
    <row r="257" spans="1:14" x14ac:dyDescent="0.25">
      <c r="A257" s="1">
        <v>256</v>
      </c>
      <c r="B257" s="2">
        <v>40555</v>
      </c>
      <c r="C257" s="1">
        <v>1</v>
      </c>
      <c r="D257" s="1">
        <v>0</v>
      </c>
      <c r="E257" s="1">
        <v>1</v>
      </c>
      <c r="F257" s="1">
        <v>0</v>
      </c>
      <c r="G257" s="1" t="b">
        <v>0</v>
      </c>
      <c r="H257" s="1">
        <v>3</v>
      </c>
      <c r="I257" s="1">
        <v>2</v>
      </c>
      <c r="J257" s="1">
        <v>0.16</v>
      </c>
      <c r="K257" t="str">
        <f t="shared" si="9"/>
        <v>Weekday</v>
      </c>
      <c r="L257" t="str">
        <f t="shared" si="10"/>
        <v>Morning</v>
      </c>
      <c r="M257" t="str">
        <f t="shared" si="11"/>
        <v>cloudy</v>
      </c>
      <c r="N257">
        <f>IFERROR(VLOOKUP(A257,Dataset2!A:Z,8,FALSE),"")</f>
        <v>6</v>
      </c>
    </row>
    <row r="258" spans="1:14" x14ac:dyDescent="0.25">
      <c r="A258" s="1">
        <v>257</v>
      </c>
      <c r="B258" s="2">
        <v>40555</v>
      </c>
      <c r="C258" s="1">
        <v>1</v>
      </c>
      <c r="D258" s="1">
        <v>0</v>
      </c>
      <c r="E258" s="1">
        <v>1</v>
      </c>
      <c r="F258" s="1">
        <v>1</v>
      </c>
      <c r="G258" s="1" t="b">
        <v>0</v>
      </c>
      <c r="H258" s="1">
        <v>3</v>
      </c>
      <c r="I258" s="1">
        <v>2</v>
      </c>
      <c r="J258" s="1">
        <v>0.16</v>
      </c>
      <c r="K258" t="str">
        <f t="shared" si="9"/>
        <v>Weekday</v>
      </c>
      <c r="L258" t="str">
        <f t="shared" si="10"/>
        <v>Morning</v>
      </c>
      <c r="M258" t="str">
        <f t="shared" si="11"/>
        <v>cloudy</v>
      </c>
      <c r="N258">
        <f>IFERROR(VLOOKUP(A258,Dataset2!A:Z,8,FALSE),"")</f>
        <v>1</v>
      </c>
    </row>
    <row r="259" spans="1:14" x14ac:dyDescent="0.25">
      <c r="A259" s="1">
        <v>258</v>
      </c>
      <c r="B259" s="2">
        <v>40555</v>
      </c>
      <c r="C259" s="1">
        <v>1</v>
      </c>
      <c r="D259" s="1">
        <v>0</v>
      </c>
      <c r="E259" s="1">
        <v>1</v>
      </c>
      <c r="F259" s="1">
        <v>2</v>
      </c>
      <c r="G259" s="1" t="b">
        <v>0</v>
      </c>
      <c r="H259" s="1">
        <v>3</v>
      </c>
      <c r="I259" s="1">
        <v>1</v>
      </c>
      <c r="J259" s="1">
        <v>0.14000000000000001</v>
      </c>
      <c r="K259" t="str">
        <f t="shared" ref="K259:K322" si="12">IF(OR(H259=0,H259=6),"Weekend","Weekday")</f>
        <v>Weekday</v>
      </c>
      <c r="L259" t="str">
        <f t="shared" ref="L259:L322" si="13">IF(F259&lt;12,"Morning",IF(F259&lt;18,"Afternoon","Evening"))</f>
        <v>Morning</v>
      </c>
      <c r="M259" t="str">
        <f t="shared" ref="M259:M322" si="14">IF(I259=1,"Clear",IF(I259=2,"cloudy",IF(I259=3,"Rain","Heavy Rain")))</f>
        <v>Clear</v>
      </c>
      <c r="N259">
        <f>IFERROR(VLOOKUP(A259,Dataset2!A:Z,8,FALSE),"")</f>
        <v>5</v>
      </c>
    </row>
    <row r="260" spans="1:14" x14ac:dyDescent="0.25">
      <c r="A260" s="1">
        <v>259</v>
      </c>
      <c r="B260" s="2">
        <v>40555</v>
      </c>
      <c r="C260" s="1">
        <v>1</v>
      </c>
      <c r="D260" s="1">
        <v>0</v>
      </c>
      <c r="E260" s="1">
        <v>1</v>
      </c>
      <c r="F260" s="1">
        <v>5</v>
      </c>
      <c r="G260" s="1" t="b">
        <v>0</v>
      </c>
      <c r="H260" s="1">
        <v>3</v>
      </c>
      <c r="I260" s="1">
        <v>1</v>
      </c>
      <c r="J260" s="1">
        <v>0.14000000000000001</v>
      </c>
      <c r="K260" t="str">
        <f t="shared" si="12"/>
        <v>Weekday</v>
      </c>
      <c r="L260" t="str">
        <f t="shared" si="13"/>
        <v>Morning</v>
      </c>
      <c r="M260" t="str">
        <f t="shared" si="14"/>
        <v>Clear</v>
      </c>
      <c r="N260">
        <f>IFERROR(VLOOKUP(A260,Dataset2!A:Z,8,FALSE),"")</f>
        <v>16</v>
      </c>
    </row>
    <row r="261" spans="1:14" x14ac:dyDescent="0.25">
      <c r="A261" s="1">
        <v>260</v>
      </c>
      <c r="B261" s="2">
        <v>40555</v>
      </c>
      <c r="C261" s="1">
        <v>1</v>
      </c>
      <c r="D261" s="1">
        <v>0</v>
      </c>
      <c r="E261" s="1">
        <v>1</v>
      </c>
      <c r="F261" s="1">
        <v>6</v>
      </c>
      <c r="G261" s="1" t="b">
        <v>0</v>
      </c>
      <c r="H261" s="1">
        <v>3</v>
      </c>
      <c r="I261" s="1">
        <v>1</v>
      </c>
      <c r="J261" s="1">
        <v>0.12</v>
      </c>
      <c r="K261" t="str">
        <f t="shared" si="12"/>
        <v>Weekday</v>
      </c>
      <c r="L261" t="str">
        <f t="shared" si="13"/>
        <v>Morning</v>
      </c>
      <c r="M261" t="str">
        <f t="shared" si="14"/>
        <v>Clear</v>
      </c>
      <c r="N261">
        <f>IFERROR(VLOOKUP(A261,Dataset2!A:Z,8,FALSE),"")</f>
        <v>54</v>
      </c>
    </row>
    <row r="262" spans="1:14" x14ac:dyDescent="0.25">
      <c r="A262" s="1">
        <v>261</v>
      </c>
      <c r="B262" s="2">
        <v>40555</v>
      </c>
      <c r="C262" s="1">
        <v>1</v>
      </c>
      <c r="D262" s="1">
        <v>0</v>
      </c>
      <c r="E262" s="1">
        <v>1</v>
      </c>
      <c r="F262" s="1">
        <v>7</v>
      </c>
      <c r="G262" s="1" t="b">
        <v>0</v>
      </c>
      <c r="H262" s="1">
        <v>3</v>
      </c>
      <c r="I262" s="1">
        <v>1</v>
      </c>
      <c r="J262" s="1">
        <v>0.14000000000000001</v>
      </c>
      <c r="K262" t="str">
        <f t="shared" si="12"/>
        <v>Weekday</v>
      </c>
      <c r="L262" t="str">
        <f t="shared" si="13"/>
        <v>Morning</v>
      </c>
      <c r="M262" t="str">
        <f t="shared" si="14"/>
        <v>Clear</v>
      </c>
      <c r="N262">
        <f>IFERROR(VLOOKUP(A262,Dataset2!A:Z,8,FALSE),"")</f>
        <v>128</v>
      </c>
    </row>
    <row r="263" spans="1:14" x14ac:dyDescent="0.25">
      <c r="A263" s="1">
        <v>262</v>
      </c>
      <c r="B263" s="2">
        <v>40555</v>
      </c>
      <c r="C263" s="1">
        <v>1</v>
      </c>
      <c r="D263" s="1">
        <v>0</v>
      </c>
      <c r="E263" s="1">
        <v>1</v>
      </c>
      <c r="F263" s="1">
        <v>8</v>
      </c>
      <c r="G263" s="1" t="b">
        <v>0</v>
      </c>
      <c r="H263" s="1">
        <v>3</v>
      </c>
      <c r="I263" s="1">
        <v>1</v>
      </c>
      <c r="J263" s="1">
        <v>0.16</v>
      </c>
      <c r="K263" t="str">
        <f t="shared" si="12"/>
        <v>Weekday</v>
      </c>
      <c r="L263" t="str">
        <f t="shared" si="13"/>
        <v>Morning</v>
      </c>
      <c r="M263" t="str">
        <f t="shared" si="14"/>
        <v>Clear</v>
      </c>
      <c r="N263">
        <f>IFERROR(VLOOKUP(A263,Dataset2!A:Z,8,FALSE),"")</f>
        <v>81</v>
      </c>
    </row>
    <row r="264" spans="1:14" x14ac:dyDescent="0.25">
      <c r="A264" s="1">
        <v>263</v>
      </c>
      <c r="B264" s="2">
        <v>40555</v>
      </c>
      <c r="C264" s="1">
        <v>1</v>
      </c>
      <c r="D264" s="1">
        <v>0</v>
      </c>
      <c r="E264" s="1">
        <v>1</v>
      </c>
      <c r="F264" s="1">
        <v>9</v>
      </c>
      <c r="G264" s="1" t="b">
        <v>0</v>
      </c>
      <c r="H264" s="1">
        <v>3</v>
      </c>
      <c r="I264" s="1">
        <v>1</v>
      </c>
      <c r="J264" s="1">
        <v>0.16</v>
      </c>
      <c r="K264" t="str">
        <f t="shared" si="12"/>
        <v>Weekday</v>
      </c>
      <c r="L264" t="str">
        <f t="shared" si="13"/>
        <v>Morning</v>
      </c>
      <c r="M264" t="str">
        <f t="shared" si="14"/>
        <v>Clear</v>
      </c>
      <c r="N264">
        <f>IFERROR(VLOOKUP(A264,Dataset2!A:Z,8,FALSE),"")</f>
        <v>39</v>
      </c>
    </row>
    <row r="265" spans="1:14" x14ac:dyDescent="0.25">
      <c r="A265" s="1">
        <v>264</v>
      </c>
      <c r="B265" s="2">
        <v>40555</v>
      </c>
      <c r="C265" s="1">
        <v>1</v>
      </c>
      <c r="D265" s="1">
        <v>0</v>
      </c>
      <c r="E265" s="1">
        <v>1</v>
      </c>
      <c r="F265" s="1">
        <v>10</v>
      </c>
      <c r="G265" s="1" t="b">
        <v>0</v>
      </c>
      <c r="H265" s="1">
        <v>3</v>
      </c>
      <c r="I265" s="1">
        <v>1</v>
      </c>
      <c r="J265" s="1">
        <v>0.18</v>
      </c>
      <c r="K265" t="str">
        <f t="shared" si="12"/>
        <v>Weekday</v>
      </c>
      <c r="L265" t="str">
        <f t="shared" si="13"/>
        <v>Morning</v>
      </c>
      <c r="M265" t="str">
        <f t="shared" si="14"/>
        <v>Clear</v>
      </c>
      <c r="N265">
        <f>IFERROR(VLOOKUP(A265,Dataset2!A:Z,8,FALSE),"")</f>
        <v>35</v>
      </c>
    </row>
    <row r="266" spans="1:14" x14ac:dyDescent="0.25">
      <c r="A266" s="1">
        <v>265</v>
      </c>
      <c r="B266" s="2">
        <v>40555</v>
      </c>
      <c r="C266" s="1">
        <v>1</v>
      </c>
      <c r="D266" s="1">
        <v>0</v>
      </c>
      <c r="E266" s="1">
        <v>1</v>
      </c>
      <c r="F266" s="1">
        <v>11</v>
      </c>
      <c r="G266" s="1" t="b">
        <v>0</v>
      </c>
      <c r="H266" s="1">
        <v>3</v>
      </c>
      <c r="I266" s="1">
        <v>1</v>
      </c>
      <c r="J266" s="1">
        <v>0.2</v>
      </c>
      <c r="K266" t="str">
        <f t="shared" si="12"/>
        <v>Weekday</v>
      </c>
      <c r="L266" t="str">
        <f t="shared" si="13"/>
        <v>Morning</v>
      </c>
      <c r="M266" t="str">
        <f t="shared" si="14"/>
        <v>Clear</v>
      </c>
      <c r="N266">
        <f>IFERROR(VLOOKUP(A266,Dataset2!A:Z,8,FALSE),"")</f>
        <v>55</v>
      </c>
    </row>
    <row r="267" spans="1:14" x14ac:dyDescent="0.25">
      <c r="A267" s="1">
        <v>266</v>
      </c>
      <c r="B267" s="2">
        <v>40555</v>
      </c>
      <c r="C267" s="1">
        <v>1</v>
      </c>
      <c r="D267" s="1">
        <v>0</v>
      </c>
      <c r="E267" s="1">
        <v>1</v>
      </c>
      <c r="F267" s="1">
        <v>12</v>
      </c>
      <c r="G267" s="1" t="b">
        <v>0</v>
      </c>
      <c r="H267" s="1">
        <v>3</v>
      </c>
      <c r="I267" s="1">
        <v>1</v>
      </c>
      <c r="J267" s="1">
        <v>0.2</v>
      </c>
      <c r="K267" t="str">
        <f t="shared" si="12"/>
        <v>Weekday</v>
      </c>
      <c r="L267" t="str">
        <f t="shared" si="13"/>
        <v>Afternoon</v>
      </c>
      <c r="M267" t="str">
        <f t="shared" si="14"/>
        <v>Clear</v>
      </c>
      <c r="N267">
        <f>IFERROR(VLOOKUP(A267,Dataset2!A:Z,8,FALSE),"")</f>
        <v>49</v>
      </c>
    </row>
    <row r="268" spans="1:14" x14ac:dyDescent="0.25">
      <c r="A268" s="1">
        <v>267</v>
      </c>
      <c r="B268" s="2">
        <v>40555</v>
      </c>
      <c r="C268" s="1">
        <v>1</v>
      </c>
      <c r="D268" s="1">
        <v>0</v>
      </c>
      <c r="E268" s="1">
        <v>1</v>
      </c>
      <c r="F268" s="1">
        <v>13</v>
      </c>
      <c r="G268" s="1" t="b">
        <v>0</v>
      </c>
      <c r="H268" s="1">
        <v>3</v>
      </c>
      <c r="I268" s="1">
        <v>1</v>
      </c>
      <c r="J268" s="1">
        <v>0.22</v>
      </c>
      <c r="K268" t="str">
        <f t="shared" si="12"/>
        <v>Weekday</v>
      </c>
      <c r="L268" t="str">
        <f t="shared" si="13"/>
        <v>Afternoon</v>
      </c>
      <c r="M268" t="str">
        <f t="shared" si="14"/>
        <v>Clear</v>
      </c>
      <c r="N268">
        <f>IFERROR(VLOOKUP(A268,Dataset2!A:Z,8,FALSE),"")</f>
        <v>44</v>
      </c>
    </row>
    <row r="269" spans="1:14" x14ac:dyDescent="0.25">
      <c r="A269" s="1">
        <v>268</v>
      </c>
      <c r="B269" s="2">
        <v>40555</v>
      </c>
      <c r="C269" s="1">
        <v>1</v>
      </c>
      <c r="D269" s="1">
        <v>0</v>
      </c>
      <c r="E269" s="1">
        <v>1</v>
      </c>
      <c r="F269" s="1">
        <v>14</v>
      </c>
      <c r="G269" s="1" t="b">
        <v>0</v>
      </c>
      <c r="H269" s="1">
        <v>3</v>
      </c>
      <c r="I269" s="1">
        <v>1</v>
      </c>
      <c r="J269" s="1">
        <v>0.2</v>
      </c>
      <c r="K269" t="str">
        <f t="shared" si="12"/>
        <v>Weekday</v>
      </c>
      <c r="L269" t="str">
        <f t="shared" si="13"/>
        <v>Afternoon</v>
      </c>
      <c r="M269" t="str">
        <f t="shared" si="14"/>
        <v>Clear</v>
      </c>
      <c r="N269">
        <f>IFERROR(VLOOKUP(A269,Dataset2!A:Z,8,FALSE),"")</f>
        <v>49</v>
      </c>
    </row>
    <row r="270" spans="1:14" x14ac:dyDescent="0.25">
      <c r="A270" s="1">
        <v>269</v>
      </c>
      <c r="B270" s="2">
        <v>40555</v>
      </c>
      <c r="C270" s="1">
        <v>1</v>
      </c>
      <c r="D270" s="1">
        <v>0</v>
      </c>
      <c r="E270" s="1">
        <v>1</v>
      </c>
      <c r="F270" s="1">
        <v>15</v>
      </c>
      <c r="G270" s="1" t="b">
        <v>0</v>
      </c>
      <c r="H270" s="1">
        <v>3</v>
      </c>
      <c r="I270" s="1">
        <v>1</v>
      </c>
      <c r="J270" s="1">
        <v>0.2</v>
      </c>
      <c r="K270" t="str">
        <f t="shared" si="12"/>
        <v>Weekday</v>
      </c>
      <c r="L270" t="str">
        <f t="shared" si="13"/>
        <v>Afternoon</v>
      </c>
      <c r="M270" t="str">
        <f t="shared" si="14"/>
        <v>Clear</v>
      </c>
      <c r="N270">
        <f>IFERROR(VLOOKUP(A270,Dataset2!A:Z,8,FALSE),"")</f>
        <v>68</v>
      </c>
    </row>
    <row r="271" spans="1:14" x14ac:dyDescent="0.25">
      <c r="A271" s="1">
        <v>270</v>
      </c>
      <c r="B271" s="2">
        <v>40555</v>
      </c>
      <c r="C271" s="1">
        <v>1</v>
      </c>
      <c r="D271" s="1">
        <v>0</v>
      </c>
      <c r="E271" s="1">
        <v>1</v>
      </c>
      <c r="F271" s="1">
        <v>16</v>
      </c>
      <c r="G271" s="1" t="b">
        <v>0</v>
      </c>
      <c r="H271" s="1">
        <v>3</v>
      </c>
      <c r="I271" s="1">
        <v>1</v>
      </c>
      <c r="J271" s="1">
        <v>0.22</v>
      </c>
      <c r="K271" t="str">
        <f t="shared" si="12"/>
        <v>Weekday</v>
      </c>
      <c r="L271" t="str">
        <f t="shared" si="13"/>
        <v>Afternoon</v>
      </c>
      <c r="M271" t="str">
        <f t="shared" si="14"/>
        <v>Clear</v>
      </c>
      <c r="N271">
        <f>IFERROR(VLOOKUP(A271,Dataset2!A:Z,8,FALSE),"")</f>
        <v>139</v>
      </c>
    </row>
    <row r="272" spans="1:14" x14ac:dyDescent="0.25">
      <c r="A272" s="1">
        <v>271</v>
      </c>
      <c r="B272" s="2">
        <v>40555</v>
      </c>
      <c r="C272" s="1">
        <v>1</v>
      </c>
      <c r="D272" s="1">
        <v>0</v>
      </c>
      <c r="E272" s="1">
        <v>1</v>
      </c>
      <c r="F272" s="1">
        <v>17</v>
      </c>
      <c r="G272" s="1" t="b">
        <v>0</v>
      </c>
      <c r="H272" s="1">
        <v>3</v>
      </c>
      <c r="I272" s="1">
        <v>1</v>
      </c>
      <c r="J272" s="1">
        <v>0.2</v>
      </c>
      <c r="K272" t="str">
        <f t="shared" si="12"/>
        <v>Weekday</v>
      </c>
      <c r="L272" t="str">
        <f t="shared" si="13"/>
        <v>Afternoon</v>
      </c>
      <c r="M272" t="str">
        <f t="shared" si="14"/>
        <v>Clear</v>
      </c>
      <c r="N272">
        <f>IFERROR(VLOOKUP(A272,Dataset2!A:Z,8,FALSE),"")</f>
        <v>137</v>
      </c>
    </row>
    <row r="273" spans="1:14" x14ac:dyDescent="0.25">
      <c r="A273" s="1">
        <v>272</v>
      </c>
      <c r="B273" s="2">
        <v>40555</v>
      </c>
      <c r="C273" s="1">
        <v>1</v>
      </c>
      <c r="D273" s="1">
        <v>0</v>
      </c>
      <c r="E273" s="1">
        <v>1</v>
      </c>
      <c r="F273" s="1">
        <v>18</v>
      </c>
      <c r="G273" s="1" t="b">
        <v>0</v>
      </c>
      <c r="H273" s="1">
        <v>3</v>
      </c>
      <c r="I273" s="1">
        <v>1</v>
      </c>
      <c r="J273" s="1">
        <v>0.2</v>
      </c>
      <c r="K273" t="str">
        <f t="shared" si="12"/>
        <v>Weekday</v>
      </c>
      <c r="L273" t="str">
        <f t="shared" si="13"/>
        <v>Evening</v>
      </c>
      <c r="M273" t="str">
        <f t="shared" si="14"/>
        <v>Clear</v>
      </c>
      <c r="N273">
        <f>IFERROR(VLOOKUP(A273,Dataset2!A:Z,8,FALSE),"")</f>
        <v>83</v>
      </c>
    </row>
    <row r="274" spans="1:14" x14ac:dyDescent="0.25">
      <c r="A274" s="1">
        <v>273</v>
      </c>
      <c r="B274" s="2">
        <v>40555</v>
      </c>
      <c r="C274" s="1">
        <v>1</v>
      </c>
      <c r="D274" s="1">
        <v>0</v>
      </c>
      <c r="E274" s="1">
        <v>1</v>
      </c>
      <c r="F274" s="1">
        <v>19</v>
      </c>
      <c r="G274" s="1" t="b">
        <v>0</v>
      </c>
      <c r="H274" s="1">
        <v>3</v>
      </c>
      <c r="I274" s="1">
        <v>1</v>
      </c>
      <c r="J274" s="1">
        <v>0.18</v>
      </c>
      <c r="K274" t="str">
        <f t="shared" si="12"/>
        <v>Weekday</v>
      </c>
      <c r="L274" t="str">
        <f t="shared" si="13"/>
        <v>Evening</v>
      </c>
      <c r="M274" t="str">
        <f t="shared" si="14"/>
        <v>Clear</v>
      </c>
      <c r="N274">
        <f>IFERROR(VLOOKUP(A274,Dataset2!A:Z,8,FALSE),"")</f>
        <v>56</v>
      </c>
    </row>
    <row r="275" spans="1:14" x14ac:dyDescent="0.25">
      <c r="A275" s="1">
        <v>274</v>
      </c>
      <c r="B275" s="2">
        <v>40555</v>
      </c>
      <c r="C275" s="1">
        <v>1</v>
      </c>
      <c r="D275" s="1">
        <v>0</v>
      </c>
      <c r="E275" s="1">
        <v>1</v>
      </c>
      <c r="F275" s="1">
        <v>20</v>
      </c>
      <c r="G275" s="1" t="b">
        <v>0</v>
      </c>
      <c r="H275" s="1">
        <v>3</v>
      </c>
      <c r="I275" s="1">
        <v>1</v>
      </c>
      <c r="J275" s="1">
        <v>0.16</v>
      </c>
      <c r="K275" t="str">
        <f t="shared" si="12"/>
        <v>Weekday</v>
      </c>
      <c r="L275" t="str">
        <f t="shared" si="13"/>
        <v>Evening</v>
      </c>
      <c r="M275" t="str">
        <f t="shared" si="14"/>
        <v>Clear</v>
      </c>
      <c r="N275">
        <f>IFERROR(VLOOKUP(A275,Dataset2!A:Z,8,FALSE),"")</f>
        <v>57</v>
      </c>
    </row>
    <row r="276" spans="1:14" x14ac:dyDescent="0.25">
      <c r="A276" s="1">
        <v>275</v>
      </c>
      <c r="B276" s="2">
        <v>40555</v>
      </c>
      <c r="C276" s="1">
        <v>1</v>
      </c>
      <c r="D276" s="1">
        <v>0</v>
      </c>
      <c r="E276" s="1">
        <v>1</v>
      </c>
      <c r="F276" s="1">
        <v>21</v>
      </c>
      <c r="G276" s="1" t="b">
        <v>0</v>
      </c>
      <c r="H276" s="1">
        <v>3</v>
      </c>
      <c r="I276" s="1">
        <v>1</v>
      </c>
      <c r="J276" s="1">
        <v>0.16</v>
      </c>
      <c r="K276" t="str">
        <f t="shared" si="12"/>
        <v>Weekday</v>
      </c>
      <c r="L276" t="str">
        <f t="shared" si="13"/>
        <v>Evening</v>
      </c>
      <c r="M276" t="str">
        <f t="shared" si="14"/>
        <v>Clear</v>
      </c>
      <c r="N276">
        <f>IFERROR(VLOOKUP(A276,Dataset2!A:Z,8,FALSE),"")</f>
        <v>33</v>
      </c>
    </row>
    <row r="277" spans="1:14" x14ac:dyDescent="0.25">
      <c r="A277" s="1">
        <v>276</v>
      </c>
      <c r="B277" s="2">
        <v>40555</v>
      </c>
      <c r="C277" s="1">
        <v>1</v>
      </c>
      <c r="D277" s="1">
        <v>0</v>
      </c>
      <c r="E277" s="1">
        <v>1</v>
      </c>
      <c r="F277" s="1">
        <v>22</v>
      </c>
      <c r="G277" s="1" t="b">
        <v>0</v>
      </c>
      <c r="H277" s="1">
        <v>3</v>
      </c>
      <c r="I277" s="1">
        <v>1</v>
      </c>
      <c r="J277" s="1">
        <v>0.16</v>
      </c>
      <c r="K277" t="str">
        <f t="shared" si="12"/>
        <v>Weekday</v>
      </c>
      <c r="L277" t="str">
        <f t="shared" si="13"/>
        <v>Evening</v>
      </c>
      <c r="M277" t="str">
        <f t="shared" si="14"/>
        <v>Clear</v>
      </c>
      <c r="N277">
        <f>IFERROR(VLOOKUP(A277,Dataset2!A:Z,8,FALSE),"")</f>
        <v>20</v>
      </c>
    </row>
    <row r="278" spans="1:14" x14ac:dyDescent="0.25">
      <c r="A278" s="1">
        <v>277</v>
      </c>
      <c r="B278" s="2">
        <v>40555</v>
      </c>
      <c r="C278" s="1">
        <v>1</v>
      </c>
      <c r="D278" s="1">
        <v>0</v>
      </c>
      <c r="E278" s="1">
        <v>1</v>
      </c>
      <c r="F278" s="1">
        <v>23</v>
      </c>
      <c r="G278" s="1" t="b">
        <v>0</v>
      </c>
      <c r="H278" s="1">
        <v>3</v>
      </c>
      <c r="I278" s="1">
        <v>1</v>
      </c>
      <c r="J278" s="1">
        <v>0.14000000000000001</v>
      </c>
      <c r="K278" t="str">
        <f t="shared" si="12"/>
        <v>Weekday</v>
      </c>
      <c r="L278" t="str">
        <f t="shared" si="13"/>
        <v>Evening</v>
      </c>
      <c r="M278" t="str">
        <f t="shared" si="14"/>
        <v>Clear</v>
      </c>
      <c r="N278">
        <f>IFERROR(VLOOKUP(A278,Dataset2!A:Z,8,FALSE),"")</f>
        <v>7</v>
      </c>
    </row>
    <row r="279" spans="1:14" x14ac:dyDescent="0.25">
      <c r="A279" s="1">
        <v>278</v>
      </c>
      <c r="B279" s="2">
        <v>40556</v>
      </c>
      <c r="C279" s="1">
        <v>1</v>
      </c>
      <c r="D279" s="1">
        <v>0</v>
      </c>
      <c r="E279" s="1">
        <v>1</v>
      </c>
      <c r="F279" s="1">
        <v>0</v>
      </c>
      <c r="G279" s="1" t="b">
        <v>0</v>
      </c>
      <c r="H279" s="1">
        <v>4</v>
      </c>
      <c r="I279" s="1">
        <v>1</v>
      </c>
      <c r="J279" s="1">
        <v>0.14000000000000001</v>
      </c>
      <c r="K279" t="str">
        <f t="shared" si="12"/>
        <v>Weekday</v>
      </c>
      <c r="L279" t="str">
        <f t="shared" si="13"/>
        <v>Morning</v>
      </c>
      <c r="M279" t="str">
        <f t="shared" si="14"/>
        <v>Clear</v>
      </c>
      <c r="N279">
        <f>IFERROR(VLOOKUP(A279,Dataset2!A:Z,8,FALSE),"")</f>
        <v>2</v>
      </c>
    </row>
    <row r="280" spans="1:14" x14ac:dyDescent="0.25">
      <c r="A280" s="1">
        <v>279</v>
      </c>
      <c r="B280" s="2">
        <v>40556</v>
      </c>
      <c r="C280" s="1">
        <v>1</v>
      </c>
      <c r="D280" s="1">
        <v>0</v>
      </c>
      <c r="E280" s="1">
        <v>1</v>
      </c>
      <c r="F280" s="1">
        <v>1</v>
      </c>
      <c r="G280" s="1" t="b">
        <v>0</v>
      </c>
      <c r="H280" s="1">
        <v>4</v>
      </c>
      <c r="I280" s="1">
        <v>1</v>
      </c>
      <c r="J280" s="1">
        <v>0.14000000000000001</v>
      </c>
      <c r="K280" t="str">
        <f t="shared" si="12"/>
        <v>Weekday</v>
      </c>
      <c r="L280" t="str">
        <f t="shared" si="13"/>
        <v>Morning</v>
      </c>
      <c r="M280" t="str">
        <f t="shared" si="14"/>
        <v>Clear</v>
      </c>
      <c r="N280">
        <f>IFERROR(VLOOKUP(A280,Dataset2!A:Z,8,FALSE),"")</f>
        <v>2</v>
      </c>
    </row>
    <row r="281" spans="1:14" x14ac:dyDescent="0.25">
      <c r="A281" s="1">
        <v>280</v>
      </c>
      <c r="B281" s="2">
        <v>40556</v>
      </c>
      <c r="C281" s="1">
        <v>1</v>
      </c>
      <c r="D281" s="1">
        <v>0</v>
      </c>
      <c r="E281" s="1">
        <v>1</v>
      </c>
      <c r="F281" s="1">
        <v>2</v>
      </c>
      <c r="G281" s="1" t="b">
        <v>0</v>
      </c>
      <c r="H281" s="1">
        <v>4</v>
      </c>
      <c r="I281" s="1">
        <v>1</v>
      </c>
      <c r="J281" s="1">
        <v>0.14000000000000001</v>
      </c>
      <c r="K281" t="str">
        <f t="shared" si="12"/>
        <v>Weekday</v>
      </c>
      <c r="L281" t="str">
        <f t="shared" si="13"/>
        <v>Morning</v>
      </c>
      <c r="M281" t="str">
        <f t="shared" si="14"/>
        <v>Clear</v>
      </c>
      <c r="N281">
        <f>IFERROR(VLOOKUP(A281,Dataset2!A:Z,8,FALSE),"")</f>
        <v>3</v>
      </c>
    </row>
    <row r="282" spans="1:14" x14ac:dyDescent="0.25">
      <c r="A282" s="1">
        <v>281</v>
      </c>
      <c r="B282" s="2">
        <v>40556</v>
      </c>
      <c r="C282" s="1">
        <v>1</v>
      </c>
      <c r="D282" s="1">
        <v>0</v>
      </c>
      <c r="E282" s="1">
        <v>1</v>
      </c>
      <c r="F282" s="1">
        <v>3</v>
      </c>
      <c r="G282" s="1" t="b">
        <v>0</v>
      </c>
      <c r="H282" s="1">
        <v>4</v>
      </c>
      <c r="I282" s="1">
        <v>1</v>
      </c>
      <c r="J282" s="1">
        <v>0.14000000000000001</v>
      </c>
      <c r="K282" t="str">
        <f t="shared" si="12"/>
        <v>Weekday</v>
      </c>
      <c r="L282" t="str">
        <f t="shared" si="13"/>
        <v>Morning</v>
      </c>
      <c r="M282" t="str">
        <f t="shared" si="14"/>
        <v>Clear</v>
      </c>
      <c r="N282">
        <f>IFERROR(VLOOKUP(A282,Dataset2!A:Z,8,FALSE),"")</f>
        <v>4</v>
      </c>
    </row>
    <row r="283" spans="1:14" x14ac:dyDescent="0.25">
      <c r="A283" s="1">
        <v>282</v>
      </c>
      <c r="B283" s="2">
        <v>40556</v>
      </c>
      <c r="C283" s="1">
        <v>1</v>
      </c>
      <c r="D283" s="1">
        <v>0</v>
      </c>
      <c r="E283" s="1">
        <v>1</v>
      </c>
      <c r="F283" s="1">
        <v>4</v>
      </c>
      <c r="G283" s="1" t="b">
        <v>0</v>
      </c>
      <c r="H283" s="1">
        <v>4</v>
      </c>
      <c r="I283" s="1">
        <v>1</v>
      </c>
      <c r="J283" s="1">
        <v>0.14000000000000001</v>
      </c>
      <c r="K283" t="str">
        <f t="shared" si="12"/>
        <v>Weekday</v>
      </c>
      <c r="L283" t="str">
        <f t="shared" si="13"/>
        <v>Morning</v>
      </c>
      <c r="M283" t="str">
        <f t="shared" si="14"/>
        <v>Clear</v>
      </c>
      <c r="N283">
        <f>IFERROR(VLOOKUP(A283,Dataset2!A:Z,8,FALSE),"")</f>
        <v>3</v>
      </c>
    </row>
    <row r="284" spans="1:14" x14ac:dyDescent="0.25">
      <c r="A284" s="1">
        <v>283</v>
      </c>
      <c r="B284" s="2">
        <v>40556</v>
      </c>
      <c r="C284" s="1">
        <v>1</v>
      </c>
      <c r="D284" s="1">
        <v>0</v>
      </c>
      <c r="E284" s="1">
        <v>1</v>
      </c>
      <c r="F284" s="1">
        <v>5</v>
      </c>
      <c r="G284" s="1" t="b">
        <v>0</v>
      </c>
      <c r="H284" s="1">
        <v>4</v>
      </c>
      <c r="I284" s="1">
        <v>1</v>
      </c>
      <c r="J284" s="1">
        <v>0.14000000000000001</v>
      </c>
      <c r="K284" t="str">
        <f t="shared" si="12"/>
        <v>Weekday</v>
      </c>
      <c r="L284" t="str">
        <f t="shared" si="13"/>
        <v>Morning</v>
      </c>
      <c r="M284" t="str">
        <f t="shared" si="14"/>
        <v>Clear</v>
      </c>
      <c r="N284">
        <f>IFERROR(VLOOKUP(A284,Dataset2!A:Z,8,FALSE),"")</f>
        <v>28</v>
      </c>
    </row>
    <row r="285" spans="1:14" x14ac:dyDescent="0.25">
      <c r="A285" s="1">
        <v>284</v>
      </c>
      <c r="B285" s="2">
        <v>40556</v>
      </c>
      <c r="C285" s="1">
        <v>1</v>
      </c>
      <c r="D285" s="1">
        <v>0</v>
      </c>
      <c r="E285" s="1">
        <v>1</v>
      </c>
      <c r="F285" s="1">
        <v>6</v>
      </c>
      <c r="G285" s="1" t="b">
        <v>0</v>
      </c>
      <c r="H285" s="1">
        <v>4</v>
      </c>
      <c r="I285" s="1">
        <v>1</v>
      </c>
      <c r="J285" s="1">
        <v>0.12</v>
      </c>
      <c r="K285" t="str">
        <f t="shared" si="12"/>
        <v>Weekday</v>
      </c>
      <c r="L285" t="str">
        <f t="shared" si="13"/>
        <v>Morning</v>
      </c>
      <c r="M285" t="str">
        <f t="shared" si="14"/>
        <v>Clear</v>
      </c>
      <c r="N285">
        <f>IFERROR(VLOOKUP(A285,Dataset2!A:Z,8,FALSE),"")</f>
        <v>72</v>
      </c>
    </row>
    <row r="286" spans="1:14" x14ac:dyDescent="0.25">
      <c r="A286" s="1">
        <v>285</v>
      </c>
      <c r="B286" s="2">
        <v>40556</v>
      </c>
      <c r="C286" s="1">
        <v>1</v>
      </c>
      <c r="D286" s="1">
        <v>0</v>
      </c>
      <c r="E286" s="1">
        <v>1</v>
      </c>
      <c r="F286" s="1">
        <v>7</v>
      </c>
      <c r="G286" s="1" t="b">
        <v>0</v>
      </c>
      <c r="H286" s="1">
        <v>4</v>
      </c>
      <c r="I286" s="1">
        <v>1</v>
      </c>
      <c r="J286" s="1">
        <v>0.12</v>
      </c>
      <c r="K286" t="str">
        <f t="shared" si="12"/>
        <v>Weekday</v>
      </c>
      <c r="L286" t="str">
        <f t="shared" si="13"/>
        <v>Morning</v>
      </c>
      <c r="M286" t="str">
        <f t="shared" si="14"/>
        <v>Clear</v>
      </c>
      <c r="N286">
        <f>IFERROR(VLOOKUP(A286,Dataset2!A:Z,8,FALSE),"")</f>
        <v>202</v>
      </c>
    </row>
    <row r="287" spans="1:14" x14ac:dyDescent="0.25">
      <c r="A287" s="1">
        <v>286</v>
      </c>
      <c r="B287" s="2">
        <v>40556</v>
      </c>
      <c r="C287" s="1">
        <v>1</v>
      </c>
      <c r="D287" s="1">
        <v>0</v>
      </c>
      <c r="E287" s="1">
        <v>1</v>
      </c>
      <c r="F287" s="1">
        <v>8</v>
      </c>
      <c r="G287" s="1" t="b">
        <v>0</v>
      </c>
      <c r="H287" s="1">
        <v>4</v>
      </c>
      <c r="I287" s="1">
        <v>1</v>
      </c>
      <c r="J287" s="1">
        <v>0.14000000000000001</v>
      </c>
      <c r="K287" t="str">
        <f t="shared" si="12"/>
        <v>Weekday</v>
      </c>
      <c r="L287" t="str">
        <f t="shared" si="13"/>
        <v>Morning</v>
      </c>
      <c r="M287" t="str">
        <f t="shared" si="14"/>
        <v>Clear</v>
      </c>
      <c r="N287">
        <f>IFERROR(VLOOKUP(A287,Dataset2!A:Z,8,FALSE),"")</f>
        <v>139</v>
      </c>
    </row>
    <row r="288" spans="1:14" x14ac:dyDescent="0.25">
      <c r="A288" s="1">
        <v>287</v>
      </c>
      <c r="B288" s="2">
        <v>40556</v>
      </c>
      <c r="C288" s="1">
        <v>1</v>
      </c>
      <c r="D288" s="1">
        <v>0</v>
      </c>
      <c r="E288" s="1">
        <v>1</v>
      </c>
      <c r="F288" s="1">
        <v>9</v>
      </c>
      <c r="G288" s="1" t="b">
        <v>0</v>
      </c>
      <c r="H288" s="1">
        <v>4</v>
      </c>
      <c r="I288" s="1">
        <v>1</v>
      </c>
      <c r="J288" s="1">
        <v>0.14000000000000001</v>
      </c>
      <c r="K288" t="str">
        <f t="shared" si="12"/>
        <v>Weekday</v>
      </c>
      <c r="L288" t="str">
        <f t="shared" si="13"/>
        <v>Morning</v>
      </c>
      <c r="M288" t="str">
        <f t="shared" si="14"/>
        <v>Clear</v>
      </c>
      <c r="N288">
        <f>IFERROR(VLOOKUP(A288,Dataset2!A:Z,8,FALSE),"")</f>
        <v>38</v>
      </c>
    </row>
    <row r="289" spans="1:14" x14ac:dyDescent="0.25">
      <c r="A289" s="1">
        <v>288</v>
      </c>
      <c r="B289" s="2">
        <v>40556</v>
      </c>
      <c r="C289" s="1">
        <v>1</v>
      </c>
      <c r="D289" s="1">
        <v>0</v>
      </c>
      <c r="E289" s="1">
        <v>1</v>
      </c>
      <c r="F289" s="1">
        <v>10</v>
      </c>
      <c r="G289" s="1" t="b">
        <v>0</v>
      </c>
      <c r="H289" s="1">
        <v>4</v>
      </c>
      <c r="I289" s="1">
        <v>2</v>
      </c>
      <c r="J289" s="1">
        <v>0.16</v>
      </c>
      <c r="K289" t="str">
        <f t="shared" si="12"/>
        <v>Weekday</v>
      </c>
      <c r="L289" t="str">
        <f t="shared" si="13"/>
        <v>Morning</v>
      </c>
      <c r="M289" t="str">
        <f t="shared" si="14"/>
        <v>cloudy</v>
      </c>
      <c r="N289">
        <f>IFERROR(VLOOKUP(A289,Dataset2!A:Z,8,FALSE),"")</f>
        <v>37</v>
      </c>
    </row>
    <row r="290" spans="1:14" x14ac:dyDescent="0.25">
      <c r="A290" s="1">
        <v>289</v>
      </c>
      <c r="B290" s="2">
        <v>40556</v>
      </c>
      <c r="C290" s="1">
        <v>1</v>
      </c>
      <c r="D290" s="1">
        <v>0</v>
      </c>
      <c r="E290" s="1">
        <v>1</v>
      </c>
      <c r="F290" s="1">
        <v>11</v>
      </c>
      <c r="G290" s="1" t="b">
        <v>0</v>
      </c>
      <c r="H290" s="1">
        <v>4</v>
      </c>
      <c r="I290" s="1">
        <v>2</v>
      </c>
      <c r="J290" s="1">
        <v>0.2</v>
      </c>
      <c r="K290" t="str">
        <f t="shared" si="12"/>
        <v>Weekday</v>
      </c>
      <c r="L290" t="str">
        <f t="shared" si="13"/>
        <v>Morning</v>
      </c>
      <c r="M290" t="str">
        <f t="shared" si="14"/>
        <v>cloudy</v>
      </c>
      <c r="N290">
        <f>IFERROR(VLOOKUP(A290,Dataset2!A:Z,8,FALSE),"")</f>
        <v>52</v>
      </c>
    </row>
    <row r="291" spans="1:14" x14ac:dyDescent="0.25">
      <c r="A291" s="1">
        <v>290</v>
      </c>
      <c r="B291" s="2">
        <v>40556</v>
      </c>
      <c r="C291" s="1">
        <v>1</v>
      </c>
      <c r="D291" s="1">
        <v>0</v>
      </c>
      <c r="E291" s="1">
        <v>1</v>
      </c>
      <c r="F291" s="1">
        <v>12</v>
      </c>
      <c r="G291" s="1" t="b">
        <v>0</v>
      </c>
      <c r="H291" s="1">
        <v>4</v>
      </c>
      <c r="I291" s="1">
        <v>1</v>
      </c>
      <c r="J291" s="1">
        <v>0.2</v>
      </c>
      <c r="K291" t="str">
        <f t="shared" si="12"/>
        <v>Weekday</v>
      </c>
      <c r="L291" t="str">
        <f t="shared" si="13"/>
        <v>Afternoon</v>
      </c>
      <c r="M291" t="str">
        <f t="shared" si="14"/>
        <v>Clear</v>
      </c>
      <c r="N291">
        <f>IFERROR(VLOOKUP(A291,Dataset2!A:Z,8,FALSE),"")</f>
        <v>83</v>
      </c>
    </row>
    <row r="292" spans="1:14" x14ac:dyDescent="0.25">
      <c r="A292" s="1">
        <v>291</v>
      </c>
      <c r="B292" s="2">
        <v>40556</v>
      </c>
      <c r="C292" s="1">
        <v>1</v>
      </c>
      <c r="D292" s="1">
        <v>0</v>
      </c>
      <c r="E292" s="1">
        <v>1</v>
      </c>
      <c r="F292" s="1">
        <v>13</v>
      </c>
      <c r="G292" s="1" t="b">
        <v>0</v>
      </c>
      <c r="H292" s="1">
        <v>4</v>
      </c>
      <c r="I292" s="1">
        <v>1</v>
      </c>
      <c r="J292" s="1">
        <v>0.22</v>
      </c>
      <c r="K292" t="str">
        <f t="shared" si="12"/>
        <v>Weekday</v>
      </c>
      <c r="L292" t="str">
        <f t="shared" si="13"/>
        <v>Afternoon</v>
      </c>
      <c r="M292" t="str">
        <f t="shared" si="14"/>
        <v>Clear</v>
      </c>
      <c r="N292">
        <f>IFERROR(VLOOKUP(A292,Dataset2!A:Z,8,FALSE),"")</f>
        <v>42</v>
      </c>
    </row>
    <row r="293" spans="1:14" x14ac:dyDescent="0.25">
      <c r="A293" s="1">
        <v>292</v>
      </c>
      <c r="B293" s="2">
        <v>40556</v>
      </c>
      <c r="C293" s="1">
        <v>1</v>
      </c>
      <c r="D293" s="1">
        <v>0</v>
      </c>
      <c r="E293" s="1">
        <v>1</v>
      </c>
      <c r="F293" s="1">
        <v>14</v>
      </c>
      <c r="G293" s="1" t="b">
        <v>0</v>
      </c>
      <c r="H293" s="1">
        <v>4</v>
      </c>
      <c r="I293" s="1">
        <v>1</v>
      </c>
      <c r="J293" s="1">
        <v>0.22</v>
      </c>
      <c r="K293" t="str">
        <f t="shared" si="12"/>
        <v>Weekday</v>
      </c>
      <c r="L293" t="str">
        <f t="shared" si="13"/>
        <v>Afternoon</v>
      </c>
      <c r="M293" t="str">
        <f t="shared" si="14"/>
        <v>Clear</v>
      </c>
      <c r="N293">
        <f>IFERROR(VLOOKUP(A293,Dataset2!A:Z,8,FALSE),"")</f>
        <v>60</v>
      </c>
    </row>
    <row r="294" spans="1:14" x14ac:dyDescent="0.25">
      <c r="A294" s="1">
        <v>293</v>
      </c>
      <c r="B294" s="2">
        <v>40556</v>
      </c>
      <c r="C294" s="1">
        <v>1</v>
      </c>
      <c r="D294" s="1">
        <v>0</v>
      </c>
      <c r="E294" s="1">
        <v>1</v>
      </c>
      <c r="F294" s="1">
        <v>15</v>
      </c>
      <c r="G294" s="1" t="b">
        <v>0</v>
      </c>
      <c r="H294" s="1">
        <v>4</v>
      </c>
      <c r="I294" s="1">
        <v>1</v>
      </c>
      <c r="J294" s="1">
        <v>0.24</v>
      </c>
      <c r="K294" t="str">
        <f t="shared" si="12"/>
        <v>Weekday</v>
      </c>
      <c r="L294" t="str">
        <f t="shared" si="13"/>
        <v>Afternoon</v>
      </c>
      <c r="M294" t="str">
        <f t="shared" si="14"/>
        <v>Clear</v>
      </c>
      <c r="N294">
        <f>IFERROR(VLOOKUP(A294,Dataset2!A:Z,8,FALSE),"")</f>
        <v>78</v>
      </c>
    </row>
    <row r="295" spans="1:14" x14ac:dyDescent="0.25">
      <c r="A295" s="1">
        <v>294</v>
      </c>
      <c r="B295" s="2">
        <v>40556</v>
      </c>
      <c r="C295" s="1">
        <v>1</v>
      </c>
      <c r="D295" s="1">
        <v>0</v>
      </c>
      <c r="E295" s="1">
        <v>1</v>
      </c>
      <c r="F295" s="1">
        <v>16</v>
      </c>
      <c r="G295" s="1" t="b">
        <v>0</v>
      </c>
      <c r="H295" s="1">
        <v>4</v>
      </c>
      <c r="I295" s="1">
        <v>1</v>
      </c>
      <c r="J295" s="1">
        <v>0.24</v>
      </c>
      <c r="K295" t="str">
        <f t="shared" si="12"/>
        <v>Weekday</v>
      </c>
      <c r="L295" t="str">
        <f t="shared" si="13"/>
        <v>Afternoon</v>
      </c>
      <c r="M295" t="str">
        <f t="shared" si="14"/>
        <v>Clear</v>
      </c>
      <c r="N295">
        <f>IFERROR(VLOOKUP(A295,Dataset2!A:Z,8,FALSE),"")</f>
        <v>162</v>
      </c>
    </row>
    <row r="296" spans="1:14" x14ac:dyDescent="0.25">
      <c r="A296" s="1">
        <v>295</v>
      </c>
      <c r="B296" s="2">
        <v>40556</v>
      </c>
      <c r="C296" s="1">
        <v>1</v>
      </c>
      <c r="D296" s="1">
        <v>0</v>
      </c>
      <c r="E296" s="1">
        <v>1</v>
      </c>
      <c r="F296" s="1">
        <v>17</v>
      </c>
      <c r="G296" s="1" t="b">
        <v>0</v>
      </c>
      <c r="H296" s="1">
        <v>4</v>
      </c>
      <c r="I296" s="1">
        <v>1</v>
      </c>
      <c r="J296" s="1">
        <v>0.2</v>
      </c>
      <c r="K296" t="str">
        <f t="shared" si="12"/>
        <v>Weekday</v>
      </c>
      <c r="L296" t="str">
        <f t="shared" si="13"/>
        <v>Afternoon</v>
      </c>
      <c r="M296" t="str">
        <f t="shared" si="14"/>
        <v>Clear</v>
      </c>
      <c r="N296">
        <f>IFERROR(VLOOKUP(A296,Dataset2!A:Z,8,FALSE),"")</f>
        <v>144</v>
      </c>
    </row>
    <row r="297" spans="1:14" x14ac:dyDescent="0.25">
      <c r="A297" s="1">
        <v>296</v>
      </c>
      <c r="B297" s="2">
        <v>40556</v>
      </c>
      <c r="C297" s="1">
        <v>1</v>
      </c>
      <c r="D297" s="1">
        <v>0</v>
      </c>
      <c r="E297" s="1">
        <v>1</v>
      </c>
      <c r="F297" s="1">
        <v>18</v>
      </c>
      <c r="G297" s="1" t="b">
        <v>0</v>
      </c>
      <c r="H297" s="1">
        <v>4</v>
      </c>
      <c r="I297" s="1">
        <v>1</v>
      </c>
      <c r="J297" s="1">
        <v>0.2</v>
      </c>
      <c r="K297" t="str">
        <f t="shared" si="12"/>
        <v>Weekday</v>
      </c>
      <c r="L297" t="str">
        <f t="shared" si="13"/>
        <v>Evening</v>
      </c>
      <c r="M297" t="str">
        <f t="shared" si="14"/>
        <v>Clear</v>
      </c>
      <c r="N297">
        <f>IFERROR(VLOOKUP(A297,Dataset2!A:Z,8,FALSE),"")</f>
        <v>99</v>
      </c>
    </row>
    <row r="298" spans="1:14" x14ac:dyDescent="0.25">
      <c r="A298" s="1">
        <v>297</v>
      </c>
      <c r="B298" s="2">
        <v>40556</v>
      </c>
      <c r="C298" s="1">
        <v>1</v>
      </c>
      <c r="D298" s="1">
        <v>0</v>
      </c>
      <c r="E298" s="1">
        <v>1</v>
      </c>
      <c r="F298" s="1">
        <v>19</v>
      </c>
      <c r="G298" s="1" t="b">
        <v>0</v>
      </c>
      <c r="H298" s="1">
        <v>4</v>
      </c>
      <c r="I298" s="1">
        <v>1</v>
      </c>
      <c r="J298" s="1">
        <v>0.16</v>
      </c>
      <c r="K298" t="str">
        <f t="shared" si="12"/>
        <v>Weekday</v>
      </c>
      <c r="L298" t="str">
        <f t="shared" si="13"/>
        <v>Evening</v>
      </c>
      <c r="M298" t="str">
        <f t="shared" si="14"/>
        <v>Clear</v>
      </c>
      <c r="N298">
        <f>IFERROR(VLOOKUP(A298,Dataset2!A:Z,8,FALSE),"")</f>
        <v>64</v>
      </c>
    </row>
    <row r="299" spans="1:14" x14ac:dyDescent="0.25">
      <c r="A299" s="1">
        <v>298</v>
      </c>
      <c r="B299" s="2">
        <v>40556</v>
      </c>
      <c r="C299" s="1">
        <v>1</v>
      </c>
      <c r="D299" s="1">
        <v>0</v>
      </c>
      <c r="E299" s="1">
        <v>1</v>
      </c>
      <c r="F299" s="1">
        <v>20</v>
      </c>
      <c r="G299" s="1" t="b">
        <v>0</v>
      </c>
      <c r="H299" s="1">
        <v>4</v>
      </c>
      <c r="I299" s="1">
        <v>1</v>
      </c>
      <c r="J299" s="1">
        <v>0.16</v>
      </c>
      <c r="K299" t="str">
        <f t="shared" si="12"/>
        <v>Weekday</v>
      </c>
      <c r="L299" t="str">
        <f t="shared" si="13"/>
        <v>Evening</v>
      </c>
      <c r="M299" t="str">
        <f t="shared" si="14"/>
        <v>Clear</v>
      </c>
      <c r="N299">
        <f>IFERROR(VLOOKUP(A299,Dataset2!A:Z,8,FALSE),"")</f>
        <v>40</v>
      </c>
    </row>
    <row r="300" spans="1:14" x14ac:dyDescent="0.25">
      <c r="A300" s="1">
        <v>299</v>
      </c>
      <c r="B300" s="2">
        <v>40556</v>
      </c>
      <c r="C300" s="1">
        <v>1</v>
      </c>
      <c r="D300" s="1">
        <v>0</v>
      </c>
      <c r="E300" s="1">
        <v>1</v>
      </c>
      <c r="F300" s="1">
        <v>21</v>
      </c>
      <c r="G300" s="1" t="b">
        <v>0</v>
      </c>
      <c r="H300" s="1">
        <v>4</v>
      </c>
      <c r="I300" s="1">
        <v>1</v>
      </c>
      <c r="J300" s="1">
        <v>0.14000000000000001</v>
      </c>
      <c r="K300" t="str">
        <f t="shared" si="12"/>
        <v>Weekday</v>
      </c>
      <c r="L300" t="str">
        <f t="shared" si="13"/>
        <v>Evening</v>
      </c>
      <c r="M300" t="str">
        <f t="shared" si="14"/>
        <v>Clear</v>
      </c>
      <c r="N300">
        <f>IFERROR(VLOOKUP(A300,Dataset2!A:Z,8,FALSE),"")</f>
        <v>30</v>
      </c>
    </row>
    <row r="301" spans="1:14" x14ac:dyDescent="0.25">
      <c r="A301" s="1">
        <v>300</v>
      </c>
      <c r="B301" s="2">
        <v>40556</v>
      </c>
      <c r="C301" s="1">
        <v>1</v>
      </c>
      <c r="D301" s="1">
        <v>0</v>
      </c>
      <c r="E301" s="1">
        <v>1</v>
      </c>
      <c r="F301" s="1">
        <v>22</v>
      </c>
      <c r="G301" s="1" t="b">
        <v>0</v>
      </c>
      <c r="H301" s="1">
        <v>4</v>
      </c>
      <c r="I301" s="1">
        <v>1</v>
      </c>
      <c r="J301" s="1">
        <v>0.14000000000000001</v>
      </c>
      <c r="K301" t="str">
        <f t="shared" si="12"/>
        <v>Weekday</v>
      </c>
      <c r="L301" t="str">
        <f t="shared" si="13"/>
        <v>Evening</v>
      </c>
      <c r="M301" t="str">
        <f t="shared" si="14"/>
        <v>Clear</v>
      </c>
      <c r="N301">
        <f>IFERROR(VLOOKUP(A301,Dataset2!A:Z,8,FALSE),"")</f>
        <v>15</v>
      </c>
    </row>
    <row r="302" spans="1:14" x14ac:dyDescent="0.25">
      <c r="A302" s="1">
        <v>301</v>
      </c>
      <c r="B302" s="2">
        <v>40556</v>
      </c>
      <c r="C302" s="1">
        <v>1</v>
      </c>
      <c r="D302" s="1">
        <v>0</v>
      </c>
      <c r="E302" s="1">
        <v>1</v>
      </c>
      <c r="F302" s="1">
        <v>23</v>
      </c>
      <c r="G302" s="1" t="b">
        <v>0</v>
      </c>
      <c r="H302" s="1">
        <v>4</v>
      </c>
      <c r="I302" s="1">
        <v>1</v>
      </c>
      <c r="J302" s="1">
        <v>0.12</v>
      </c>
      <c r="K302" t="str">
        <f t="shared" si="12"/>
        <v>Weekday</v>
      </c>
      <c r="L302" t="str">
        <f t="shared" si="13"/>
        <v>Evening</v>
      </c>
      <c r="M302" t="str">
        <f t="shared" si="14"/>
        <v>Clear</v>
      </c>
      <c r="N302">
        <f>IFERROR(VLOOKUP(A302,Dataset2!A:Z,8,FALSE),"")</f>
        <v>14</v>
      </c>
    </row>
    <row r="303" spans="1:14" x14ac:dyDescent="0.25">
      <c r="A303" s="1">
        <v>302</v>
      </c>
      <c r="B303" s="2">
        <v>40557</v>
      </c>
      <c r="C303" s="1">
        <v>1</v>
      </c>
      <c r="D303" s="1">
        <v>0</v>
      </c>
      <c r="E303" s="1">
        <v>1</v>
      </c>
      <c r="F303" s="1">
        <v>0</v>
      </c>
      <c r="G303" s="1" t="b">
        <v>0</v>
      </c>
      <c r="H303" s="1">
        <v>5</v>
      </c>
      <c r="I303" s="1">
        <v>1</v>
      </c>
      <c r="J303" s="1">
        <v>0.12</v>
      </c>
      <c r="K303" t="str">
        <f t="shared" si="12"/>
        <v>Weekday</v>
      </c>
      <c r="L303" t="str">
        <f t="shared" si="13"/>
        <v>Morning</v>
      </c>
      <c r="M303" t="str">
        <f t="shared" si="14"/>
        <v>Clear</v>
      </c>
      <c r="N303">
        <f>IFERROR(VLOOKUP(A303,Dataset2!A:Z,8,FALSE),"")</f>
        <v>5</v>
      </c>
    </row>
    <row r="304" spans="1:14" x14ac:dyDescent="0.25">
      <c r="A304" s="1">
        <v>303</v>
      </c>
      <c r="B304" s="2">
        <v>40557</v>
      </c>
      <c r="C304" s="1">
        <v>1</v>
      </c>
      <c r="D304" s="1">
        <v>0</v>
      </c>
      <c r="E304" s="1">
        <v>1</v>
      </c>
      <c r="F304" s="1">
        <v>1</v>
      </c>
      <c r="G304" s="1" t="b">
        <v>0</v>
      </c>
      <c r="H304" s="1">
        <v>5</v>
      </c>
      <c r="I304" s="1">
        <v>1</v>
      </c>
      <c r="J304" s="1">
        <v>0.1</v>
      </c>
      <c r="K304" t="str">
        <f t="shared" si="12"/>
        <v>Weekday</v>
      </c>
      <c r="L304" t="str">
        <f t="shared" si="13"/>
        <v>Morning</v>
      </c>
      <c r="M304" t="str">
        <f t="shared" si="14"/>
        <v>Clear</v>
      </c>
      <c r="N304">
        <f>IFERROR(VLOOKUP(A304,Dataset2!A:Z,8,FALSE),"")</f>
        <v>1</v>
      </c>
    </row>
    <row r="305" spans="1:14" x14ac:dyDescent="0.25">
      <c r="A305" s="1">
        <v>304</v>
      </c>
      <c r="B305" s="2">
        <v>40557</v>
      </c>
      <c r="C305" s="1">
        <v>1</v>
      </c>
      <c r="D305" s="1">
        <v>0</v>
      </c>
      <c r="E305" s="1">
        <v>1</v>
      </c>
      <c r="F305" s="1">
        <v>2</v>
      </c>
      <c r="G305" s="1" t="b">
        <v>0</v>
      </c>
      <c r="H305" s="1">
        <v>5</v>
      </c>
      <c r="I305" s="1">
        <v>1</v>
      </c>
      <c r="J305" s="1">
        <v>0.1</v>
      </c>
      <c r="K305" t="str">
        <f t="shared" si="12"/>
        <v>Weekday</v>
      </c>
      <c r="L305" t="str">
        <f t="shared" si="13"/>
        <v>Morning</v>
      </c>
      <c r="M305" t="str">
        <f t="shared" si="14"/>
        <v>Clear</v>
      </c>
      <c r="N305">
        <f>IFERROR(VLOOKUP(A305,Dataset2!A:Z,8,FALSE),"")</f>
        <v>1</v>
      </c>
    </row>
    <row r="306" spans="1:14" x14ac:dyDescent="0.25">
      <c r="A306" s="1">
        <v>305</v>
      </c>
      <c r="B306" s="2">
        <v>40557</v>
      </c>
      <c r="C306" s="1">
        <v>1</v>
      </c>
      <c r="D306" s="1">
        <v>0</v>
      </c>
      <c r="E306" s="1">
        <v>1</v>
      </c>
      <c r="F306" s="1">
        <v>3</v>
      </c>
      <c r="G306" s="1" t="b">
        <v>0</v>
      </c>
      <c r="H306" s="1">
        <v>5</v>
      </c>
      <c r="I306" s="1">
        <v>1</v>
      </c>
      <c r="J306" s="1">
        <v>0.1</v>
      </c>
      <c r="K306" t="str">
        <f t="shared" si="12"/>
        <v>Weekday</v>
      </c>
      <c r="L306" t="str">
        <f t="shared" si="13"/>
        <v>Morning</v>
      </c>
      <c r="M306" t="str">
        <f t="shared" si="14"/>
        <v>Clear</v>
      </c>
      <c r="N306">
        <f>IFERROR(VLOOKUP(A306,Dataset2!A:Z,8,FALSE),"")</f>
        <v>8</v>
      </c>
    </row>
    <row r="307" spans="1:14" x14ac:dyDescent="0.25">
      <c r="A307" s="1">
        <v>306</v>
      </c>
      <c r="B307" s="2">
        <v>40557</v>
      </c>
      <c r="C307" s="1">
        <v>1</v>
      </c>
      <c r="D307" s="1">
        <v>0</v>
      </c>
      <c r="E307" s="1">
        <v>1</v>
      </c>
      <c r="F307" s="1">
        <v>5</v>
      </c>
      <c r="G307" s="1" t="b">
        <v>0</v>
      </c>
      <c r="H307" s="1">
        <v>5</v>
      </c>
      <c r="I307" s="1">
        <v>1</v>
      </c>
      <c r="J307" s="1">
        <v>0.1</v>
      </c>
      <c r="K307" t="str">
        <f t="shared" si="12"/>
        <v>Weekday</v>
      </c>
      <c r="L307" t="str">
        <f t="shared" si="13"/>
        <v>Morning</v>
      </c>
      <c r="M307" t="str">
        <f t="shared" si="14"/>
        <v>Clear</v>
      </c>
      <c r="N307">
        <f>IFERROR(VLOOKUP(A307,Dataset2!A:Z,8,FALSE),"")</f>
        <v>17</v>
      </c>
    </row>
    <row r="308" spans="1:14" x14ac:dyDescent="0.25">
      <c r="A308" s="1">
        <v>307</v>
      </c>
      <c r="B308" s="2">
        <v>40557</v>
      </c>
      <c r="C308" s="1">
        <v>1</v>
      </c>
      <c r="D308" s="1">
        <v>0</v>
      </c>
      <c r="E308" s="1">
        <v>1</v>
      </c>
      <c r="F308" s="1">
        <v>6</v>
      </c>
      <c r="G308" s="1" t="b">
        <v>0</v>
      </c>
      <c r="H308" s="1">
        <v>5</v>
      </c>
      <c r="I308" s="1">
        <v>1</v>
      </c>
      <c r="J308" s="1">
        <v>0.1</v>
      </c>
      <c r="K308" t="str">
        <f t="shared" si="12"/>
        <v>Weekday</v>
      </c>
      <c r="L308" t="str">
        <f t="shared" si="13"/>
        <v>Morning</v>
      </c>
      <c r="M308" t="str">
        <f t="shared" si="14"/>
        <v>Clear</v>
      </c>
      <c r="N308">
        <f>IFERROR(VLOOKUP(A308,Dataset2!A:Z,8,FALSE),"")</f>
        <v>70</v>
      </c>
    </row>
    <row r="309" spans="1:14" x14ac:dyDescent="0.25">
      <c r="A309" s="1">
        <v>308</v>
      </c>
      <c r="B309" s="2">
        <v>40557</v>
      </c>
      <c r="C309" s="1">
        <v>1</v>
      </c>
      <c r="D309" s="1">
        <v>0</v>
      </c>
      <c r="E309" s="1">
        <v>1</v>
      </c>
      <c r="F309" s="1">
        <v>7</v>
      </c>
      <c r="G309" s="1" t="b">
        <v>0</v>
      </c>
      <c r="H309" s="1">
        <v>5</v>
      </c>
      <c r="I309" s="1">
        <v>1</v>
      </c>
      <c r="J309" s="1">
        <v>0.1</v>
      </c>
      <c r="K309" t="str">
        <f t="shared" si="12"/>
        <v>Weekday</v>
      </c>
      <c r="L309" t="str">
        <f t="shared" si="13"/>
        <v>Morning</v>
      </c>
      <c r="M309" t="str">
        <f t="shared" si="14"/>
        <v>Clear</v>
      </c>
      <c r="N309">
        <f>IFERROR(VLOOKUP(A309,Dataset2!A:Z,8,FALSE),"")</f>
        <v>158</v>
      </c>
    </row>
    <row r="310" spans="1:14" x14ac:dyDescent="0.25">
      <c r="A310" s="1">
        <v>309</v>
      </c>
      <c r="B310" s="2">
        <v>40557</v>
      </c>
      <c r="C310" s="1">
        <v>1</v>
      </c>
      <c r="D310" s="1">
        <v>0</v>
      </c>
      <c r="E310" s="1">
        <v>1</v>
      </c>
      <c r="F310" s="1">
        <v>8</v>
      </c>
      <c r="G310" s="1" t="b">
        <v>0</v>
      </c>
      <c r="H310" s="1">
        <v>5</v>
      </c>
      <c r="I310" s="1">
        <v>1</v>
      </c>
      <c r="J310" s="1">
        <v>0.12</v>
      </c>
      <c r="K310" t="str">
        <f t="shared" si="12"/>
        <v>Weekday</v>
      </c>
      <c r="L310" t="str">
        <f t="shared" si="13"/>
        <v>Morning</v>
      </c>
      <c r="M310" t="str">
        <f t="shared" si="14"/>
        <v>Clear</v>
      </c>
      <c r="N310">
        <f>IFERROR(VLOOKUP(A310,Dataset2!A:Z,8,FALSE),"")</f>
        <v>117</v>
      </c>
    </row>
    <row r="311" spans="1:14" x14ac:dyDescent="0.25">
      <c r="A311" s="1">
        <v>310</v>
      </c>
      <c r="B311" s="2">
        <v>40557</v>
      </c>
      <c r="C311" s="1">
        <v>1</v>
      </c>
      <c r="D311" s="1">
        <v>0</v>
      </c>
      <c r="E311" s="1">
        <v>1</v>
      </c>
      <c r="F311" s="1">
        <v>9</v>
      </c>
      <c r="G311" s="1" t="b">
        <v>0</v>
      </c>
      <c r="H311" s="1">
        <v>5</v>
      </c>
      <c r="I311" s="1">
        <v>1</v>
      </c>
      <c r="J311" s="1">
        <v>0.14000000000000001</v>
      </c>
      <c r="K311" t="str">
        <f t="shared" si="12"/>
        <v>Weekday</v>
      </c>
      <c r="L311" t="str">
        <f t="shared" si="13"/>
        <v>Morning</v>
      </c>
      <c r="M311" t="str">
        <f t="shared" si="14"/>
        <v>Clear</v>
      </c>
      <c r="N311">
        <f>IFERROR(VLOOKUP(A311,Dataset2!A:Z,8,FALSE),"")</f>
        <v>44</v>
      </c>
    </row>
    <row r="312" spans="1:14" x14ac:dyDescent="0.25">
      <c r="A312" s="1">
        <v>311</v>
      </c>
      <c r="B312" s="2">
        <v>40557</v>
      </c>
      <c r="C312" s="1">
        <v>1</v>
      </c>
      <c r="D312" s="1">
        <v>0</v>
      </c>
      <c r="E312" s="1">
        <v>1</v>
      </c>
      <c r="F312" s="1">
        <v>10</v>
      </c>
      <c r="G312" s="1" t="b">
        <v>0</v>
      </c>
      <c r="H312" s="1">
        <v>5</v>
      </c>
      <c r="I312" s="1">
        <v>1</v>
      </c>
      <c r="J312" s="1">
        <v>0.18</v>
      </c>
      <c r="K312" t="str">
        <f t="shared" si="12"/>
        <v>Weekday</v>
      </c>
      <c r="L312" t="str">
        <f t="shared" si="13"/>
        <v>Morning</v>
      </c>
      <c r="M312" t="str">
        <f t="shared" si="14"/>
        <v>Clear</v>
      </c>
      <c r="N312">
        <f>IFERROR(VLOOKUP(A312,Dataset2!A:Z,8,FALSE),"")</f>
        <v>53</v>
      </c>
    </row>
    <row r="313" spans="1:14" x14ac:dyDescent="0.25">
      <c r="A313" s="1">
        <v>312</v>
      </c>
      <c r="B313" s="2">
        <v>40557</v>
      </c>
      <c r="C313" s="1">
        <v>1</v>
      </c>
      <c r="D313" s="1">
        <v>0</v>
      </c>
      <c r="E313" s="1">
        <v>1</v>
      </c>
      <c r="F313" s="1">
        <v>11</v>
      </c>
      <c r="G313" s="1" t="b">
        <v>0</v>
      </c>
      <c r="H313" s="1">
        <v>5</v>
      </c>
      <c r="I313" s="1">
        <v>1</v>
      </c>
      <c r="J313" s="1">
        <v>0.18</v>
      </c>
      <c r="K313" t="str">
        <f t="shared" si="12"/>
        <v>Weekday</v>
      </c>
      <c r="L313" t="str">
        <f t="shared" si="13"/>
        <v>Morning</v>
      </c>
      <c r="M313" t="str">
        <f t="shared" si="14"/>
        <v>Clear</v>
      </c>
      <c r="N313">
        <f>IFERROR(VLOOKUP(A313,Dataset2!A:Z,8,FALSE),"")</f>
        <v>61</v>
      </c>
    </row>
    <row r="314" spans="1:14" x14ac:dyDescent="0.25">
      <c r="A314" s="1">
        <v>313</v>
      </c>
      <c r="B314" s="2">
        <v>40557</v>
      </c>
      <c r="C314" s="1">
        <v>1</v>
      </c>
      <c r="D314" s="1">
        <v>0</v>
      </c>
      <c r="E314" s="1">
        <v>1</v>
      </c>
      <c r="F314" s="1">
        <v>12</v>
      </c>
      <c r="G314" s="1" t="b">
        <v>0</v>
      </c>
      <c r="H314" s="1">
        <v>5</v>
      </c>
      <c r="I314" s="1">
        <v>1</v>
      </c>
      <c r="J314" s="1">
        <v>0.2</v>
      </c>
      <c r="K314" t="str">
        <f t="shared" si="12"/>
        <v>Weekday</v>
      </c>
      <c r="L314" t="str">
        <f t="shared" si="13"/>
        <v>Afternoon</v>
      </c>
      <c r="M314" t="str">
        <f t="shared" si="14"/>
        <v>Clear</v>
      </c>
      <c r="N314">
        <f>IFERROR(VLOOKUP(A314,Dataset2!A:Z,8,FALSE),"")</f>
        <v>77</v>
      </c>
    </row>
    <row r="315" spans="1:14" x14ac:dyDescent="0.25">
      <c r="A315" s="1">
        <v>314</v>
      </c>
      <c r="B315" s="2">
        <v>40557</v>
      </c>
      <c r="C315" s="1">
        <v>1</v>
      </c>
      <c r="D315" s="1">
        <v>0</v>
      </c>
      <c r="E315" s="1">
        <v>1</v>
      </c>
      <c r="F315" s="1">
        <v>13</v>
      </c>
      <c r="G315" s="1" t="b">
        <v>0</v>
      </c>
      <c r="H315" s="1">
        <v>5</v>
      </c>
      <c r="I315" s="1">
        <v>1</v>
      </c>
      <c r="J315" s="1">
        <v>0.22</v>
      </c>
      <c r="K315" t="str">
        <f t="shared" si="12"/>
        <v>Weekday</v>
      </c>
      <c r="L315" t="str">
        <f t="shared" si="13"/>
        <v>Afternoon</v>
      </c>
      <c r="M315" t="str">
        <f t="shared" si="14"/>
        <v>Clear</v>
      </c>
      <c r="N315">
        <f>IFERROR(VLOOKUP(A315,Dataset2!A:Z,8,FALSE),"")</f>
        <v>64</v>
      </c>
    </row>
    <row r="316" spans="1:14" x14ac:dyDescent="0.25">
      <c r="A316" s="1">
        <v>315</v>
      </c>
      <c r="B316" s="2">
        <v>40557</v>
      </c>
      <c r="C316" s="1">
        <v>1</v>
      </c>
      <c r="D316" s="1">
        <v>0</v>
      </c>
      <c r="E316" s="1">
        <v>1</v>
      </c>
      <c r="F316" s="1">
        <v>14</v>
      </c>
      <c r="G316" s="1" t="b">
        <v>0</v>
      </c>
      <c r="H316" s="1">
        <v>5</v>
      </c>
      <c r="I316" s="1">
        <v>1</v>
      </c>
      <c r="J316" s="1">
        <v>0.22</v>
      </c>
      <c r="K316" t="str">
        <f t="shared" si="12"/>
        <v>Weekday</v>
      </c>
      <c r="L316" t="str">
        <f t="shared" si="13"/>
        <v>Afternoon</v>
      </c>
      <c r="M316" t="str">
        <f t="shared" si="14"/>
        <v>Clear</v>
      </c>
      <c r="N316">
        <f>IFERROR(VLOOKUP(A316,Dataset2!A:Z,8,FALSE),"")</f>
        <v>68</v>
      </c>
    </row>
    <row r="317" spans="1:14" x14ac:dyDescent="0.25">
      <c r="A317" s="1">
        <v>316</v>
      </c>
      <c r="B317" s="2">
        <v>40557</v>
      </c>
      <c r="C317" s="1">
        <v>1</v>
      </c>
      <c r="D317" s="1">
        <v>0</v>
      </c>
      <c r="E317" s="1">
        <v>1</v>
      </c>
      <c r="F317" s="1">
        <v>15</v>
      </c>
      <c r="G317" s="1" t="b">
        <v>0</v>
      </c>
      <c r="H317" s="1">
        <v>5</v>
      </c>
      <c r="I317" s="1">
        <v>1</v>
      </c>
      <c r="J317" s="1">
        <v>0.24</v>
      </c>
      <c r="K317" t="str">
        <f t="shared" si="12"/>
        <v>Weekday</v>
      </c>
      <c r="L317" t="str">
        <f t="shared" si="13"/>
        <v>Afternoon</v>
      </c>
      <c r="M317" t="str">
        <f t="shared" si="14"/>
        <v>Clear</v>
      </c>
      <c r="N317">
        <f>IFERROR(VLOOKUP(A317,Dataset2!A:Z,8,FALSE),"")</f>
        <v>90</v>
      </c>
    </row>
    <row r="318" spans="1:14" x14ac:dyDescent="0.25">
      <c r="A318" s="1">
        <v>317</v>
      </c>
      <c r="B318" s="2">
        <v>40557</v>
      </c>
      <c r="C318" s="1">
        <v>1</v>
      </c>
      <c r="D318" s="1">
        <v>0</v>
      </c>
      <c r="E318" s="1">
        <v>1</v>
      </c>
      <c r="F318" s="1">
        <v>16</v>
      </c>
      <c r="G318" s="1" t="b">
        <v>0</v>
      </c>
      <c r="H318" s="1">
        <v>5</v>
      </c>
      <c r="I318" s="1">
        <v>1</v>
      </c>
      <c r="J318" s="1">
        <v>0.22</v>
      </c>
      <c r="K318" t="str">
        <f t="shared" si="12"/>
        <v>Weekday</v>
      </c>
      <c r="L318" t="str">
        <f t="shared" si="13"/>
        <v>Afternoon</v>
      </c>
      <c r="M318" t="str">
        <f t="shared" si="14"/>
        <v>Clear</v>
      </c>
      <c r="N318">
        <f>IFERROR(VLOOKUP(A318,Dataset2!A:Z,8,FALSE),"")</f>
        <v>159</v>
      </c>
    </row>
    <row r="319" spans="1:14" x14ac:dyDescent="0.25">
      <c r="A319" s="1">
        <v>318</v>
      </c>
      <c r="B319" s="2">
        <v>40557</v>
      </c>
      <c r="C319" s="1">
        <v>1</v>
      </c>
      <c r="D319" s="1">
        <v>0</v>
      </c>
      <c r="E319" s="1">
        <v>1</v>
      </c>
      <c r="F319" s="1">
        <v>17</v>
      </c>
      <c r="G319" s="1" t="b">
        <v>0</v>
      </c>
      <c r="H319" s="1">
        <v>5</v>
      </c>
      <c r="I319" s="1">
        <v>1</v>
      </c>
      <c r="J319" s="1">
        <v>0.22</v>
      </c>
      <c r="K319" t="str">
        <f t="shared" si="12"/>
        <v>Weekday</v>
      </c>
      <c r="L319" t="str">
        <f t="shared" si="13"/>
        <v>Afternoon</v>
      </c>
      <c r="M319" t="str">
        <f t="shared" si="14"/>
        <v>Clear</v>
      </c>
      <c r="N319">
        <f>IFERROR(VLOOKUP(A319,Dataset2!A:Z,8,FALSE),"")</f>
        <v>139</v>
      </c>
    </row>
    <row r="320" spans="1:14" x14ac:dyDescent="0.25">
      <c r="A320" s="1">
        <v>319</v>
      </c>
      <c r="B320" s="2">
        <v>40557</v>
      </c>
      <c r="C320" s="1">
        <v>1</v>
      </c>
      <c r="D320" s="1">
        <v>0</v>
      </c>
      <c r="E320" s="1">
        <v>1</v>
      </c>
      <c r="F320" s="1">
        <v>18</v>
      </c>
      <c r="G320" s="1" t="b">
        <v>0</v>
      </c>
      <c r="H320" s="1">
        <v>5</v>
      </c>
      <c r="I320" s="1">
        <v>1</v>
      </c>
      <c r="J320" s="1">
        <v>0.2</v>
      </c>
      <c r="K320" t="str">
        <f t="shared" si="12"/>
        <v>Weekday</v>
      </c>
      <c r="L320" t="str">
        <f t="shared" si="13"/>
        <v>Evening</v>
      </c>
      <c r="M320" t="str">
        <f t="shared" si="14"/>
        <v>Clear</v>
      </c>
      <c r="N320">
        <f>IFERROR(VLOOKUP(A320,Dataset2!A:Z,8,FALSE),"")</f>
        <v>92</v>
      </c>
    </row>
    <row r="321" spans="1:14" x14ac:dyDescent="0.25">
      <c r="A321" s="1">
        <v>320</v>
      </c>
      <c r="B321" s="2">
        <v>40557</v>
      </c>
      <c r="C321" s="1">
        <v>1</v>
      </c>
      <c r="D321" s="1">
        <v>0</v>
      </c>
      <c r="E321" s="1">
        <v>1</v>
      </c>
      <c r="F321" s="1">
        <v>19</v>
      </c>
      <c r="G321" s="1" t="b">
        <v>0</v>
      </c>
      <c r="H321" s="1">
        <v>5</v>
      </c>
      <c r="I321" s="1">
        <v>1</v>
      </c>
      <c r="J321" s="1">
        <v>0.16</v>
      </c>
      <c r="K321" t="str">
        <f t="shared" si="12"/>
        <v>Weekday</v>
      </c>
      <c r="L321" t="str">
        <f t="shared" si="13"/>
        <v>Evening</v>
      </c>
      <c r="M321" t="str">
        <f t="shared" si="14"/>
        <v>Clear</v>
      </c>
      <c r="N321">
        <f>IFERROR(VLOOKUP(A321,Dataset2!A:Z,8,FALSE),"")</f>
        <v>68</v>
      </c>
    </row>
    <row r="322" spans="1:14" x14ac:dyDescent="0.25">
      <c r="A322" s="1">
        <v>321</v>
      </c>
      <c r="B322" s="2">
        <v>40557</v>
      </c>
      <c r="C322" s="1">
        <v>1</v>
      </c>
      <c r="D322" s="1">
        <v>0</v>
      </c>
      <c r="E322" s="1">
        <v>1</v>
      </c>
      <c r="F322" s="1">
        <v>20</v>
      </c>
      <c r="G322" s="1" t="b">
        <v>0</v>
      </c>
      <c r="H322" s="1">
        <v>5</v>
      </c>
      <c r="I322" s="1">
        <v>1</v>
      </c>
      <c r="J322" s="1">
        <v>0.18</v>
      </c>
      <c r="K322" t="str">
        <f t="shared" si="12"/>
        <v>Weekday</v>
      </c>
      <c r="L322" t="str">
        <f t="shared" si="13"/>
        <v>Evening</v>
      </c>
      <c r="M322" t="str">
        <f t="shared" si="14"/>
        <v>Clear</v>
      </c>
      <c r="N322">
        <f>IFERROR(VLOOKUP(A322,Dataset2!A:Z,8,FALSE),"")</f>
        <v>52</v>
      </c>
    </row>
    <row r="323" spans="1:14" x14ac:dyDescent="0.25">
      <c r="A323" s="1">
        <v>322</v>
      </c>
      <c r="B323" s="2">
        <v>40557</v>
      </c>
      <c r="C323" s="1">
        <v>1</v>
      </c>
      <c r="D323" s="1">
        <v>0</v>
      </c>
      <c r="E323" s="1">
        <v>1</v>
      </c>
      <c r="F323" s="1">
        <v>21</v>
      </c>
      <c r="G323" s="1" t="b">
        <v>0</v>
      </c>
      <c r="H323" s="1">
        <v>5</v>
      </c>
      <c r="I323" s="1">
        <v>1</v>
      </c>
      <c r="J323" s="1">
        <v>0.16</v>
      </c>
      <c r="K323" t="str">
        <f t="shared" ref="K323:K386" si="15">IF(OR(H323=0,H323=6),"Weekend","Weekday")</f>
        <v>Weekday</v>
      </c>
      <c r="L323" t="str">
        <f t="shared" ref="L323:L386" si="16">IF(F323&lt;12,"Morning",IF(F323&lt;18,"Afternoon","Evening"))</f>
        <v>Evening</v>
      </c>
      <c r="M323" t="str">
        <f t="shared" ref="M323:M386" si="17">IF(I323=1,"Clear",IF(I323=2,"cloudy",IF(I323=3,"Rain","Heavy Rain")))</f>
        <v>Clear</v>
      </c>
      <c r="N323">
        <f>IFERROR(VLOOKUP(A323,Dataset2!A:Z,8,FALSE),"")</f>
        <v>36</v>
      </c>
    </row>
    <row r="324" spans="1:14" x14ac:dyDescent="0.25">
      <c r="A324" s="1">
        <v>323</v>
      </c>
      <c r="B324" s="2">
        <v>40557</v>
      </c>
      <c r="C324" s="1">
        <v>1</v>
      </c>
      <c r="D324" s="1">
        <v>0</v>
      </c>
      <c r="E324" s="1">
        <v>1</v>
      </c>
      <c r="F324" s="1">
        <v>22</v>
      </c>
      <c r="G324" s="1" t="b">
        <v>0</v>
      </c>
      <c r="H324" s="1">
        <v>5</v>
      </c>
      <c r="I324" s="1">
        <v>2</v>
      </c>
      <c r="J324" s="1">
        <v>0.16</v>
      </c>
      <c r="K324" t="str">
        <f t="shared" si="15"/>
        <v>Weekday</v>
      </c>
      <c r="L324" t="str">
        <f t="shared" si="16"/>
        <v>Evening</v>
      </c>
      <c r="M324" t="str">
        <f t="shared" si="17"/>
        <v>cloudy</v>
      </c>
      <c r="N324">
        <f>IFERROR(VLOOKUP(A324,Dataset2!A:Z,8,FALSE),"")</f>
        <v>27</v>
      </c>
    </row>
    <row r="325" spans="1:14" x14ac:dyDescent="0.25">
      <c r="A325" s="1">
        <v>324</v>
      </c>
      <c r="B325" s="2">
        <v>40557</v>
      </c>
      <c r="C325" s="1">
        <v>1</v>
      </c>
      <c r="D325" s="1">
        <v>0</v>
      </c>
      <c r="E325" s="1">
        <v>1</v>
      </c>
      <c r="F325" s="1">
        <v>23</v>
      </c>
      <c r="G325" s="1" t="b">
        <v>0</v>
      </c>
      <c r="H325" s="1">
        <v>5</v>
      </c>
      <c r="I325" s="1">
        <v>2</v>
      </c>
      <c r="J325" s="1">
        <v>0.18</v>
      </c>
      <c r="K325" t="str">
        <f t="shared" si="15"/>
        <v>Weekday</v>
      </c>
      <c r="L325" t="str">
        <f t="shared" si="16"/>
        <v>Evening</v>
      </c>
      <c r="M325" t="str">
        <f t="shared" si="17"/>
        <v>cloudy</v>
      </c>
      <c r="N325">
        <f>IFERROR(VLOOKUP(A325,Dataset2!A:Z,8,FALSE),"")</f>
        <v>28</v>
      </c>
    </row>
    <row r="326" spans="1:14" x14ac:dyDescent="0.25">
      <c r="A326" s="1">
        <v>325</v>
      </c>
      <c r="B326" s="2">
        <v>40558</v>
      </c>
      <c r="C326" s="1">
        <v>1</v>
      </c>
      <c r="D326" s="1">
        <v>0</v>
      </c>
      <c r="E326" s="1">
        <v>1</v>
      </c>
      <c r="F326" s="1">
        <v>0</v>
      </c>
      <c r="G326" s="1" t="b">
        <v>0</v>
      </c>
      <c r="H326" s="1">
        <v>6</v>
      </c>
      <c r="I326" s="1">
        <v>1</v>
      </c>
      <c r="J326" s="1">
        <v>0.18</v>
      </c>
      <c r="K326" t="str">
        <f t="shared" si="15"/>
        <v>Weekend</v>
      </c>
      <c r="L326" t="str">
        <f t="shared" si="16"/>
        <v>Morning</v>
      </c>
      <c r="M326" t="str">
        <f t="shared" si="17"/>
        <v>Clear</v>
      </c>
      <c r="N326">
        <f>IFERROR(VLOOKUP(A326,Dataset2!A:Z,8,FALSE),"")</f>
        <v>20</v>
      </c>
    </row>
    <row r="327" spans="1:14" x14ac:dyDescent="0.25">
      <c r="A327" s="1">
        <v>326</v>
      </c>
      <c r="B327" s="2">
        <v>40558</v>
      </c>
      <c r="C327" s="1">
        <v>1</v>
      </c>
      <c r="D327" s="1">
        <v>0</v>
      </c>
      <c r="E327" s="1">
        <v>1</v>
      </c>
      <c r="F327" s="1">
        <v>1</v>
      </c>
      <c r="G327" s="1" t="b">
        <v>0</v>
      </c>
      <c r="H327" s="1">
        <v>6</v>
      </c>
      <c r="I327" s="1">
        <v>2</v>
      </c>
      <c r="J327" s="1">
        <v>0.16</v>
      </c>
      <c r="K327" t="str">
        <f t="shared" si="15"/>
        <v>Weekend</v>
      </c>
      <c r="L327" t="str">
        <f t="shared" si="16"/>
        <v>Morning</v>
      </c>
      <c r="M327" t="str">
        <f t="shared" si="17"/>
        <v>cloudy</v>
      </c>
      <c r="N327">
        <f>IFERROR(VLOOKUP(A327,Dataset2!A:Z,8,FALSE),"")</f>
        <v>12</v>
      </c>
    </row>
    <row r="328" spans="1:14" x14ac:dyDescent="0.25">
      <c r="A328" s="1">
        <v>327</v>
      </c>
      <c r="B328" s="2">
        <v>40558</v>
      </c>
      <c r="C328" s="1">
        <v>1</v>
      </c>
      <c r="D328" s="1">
        <v>0</v>
      </c>
      <c r="E328" s="1">
        <v>1</v>
      </c>
      <c r="F328" s="1">
        <v>2</v>
      </c>
      <c r="G328" s="1" t="b">
        <v>0</v>
      </c>
      <c r="H328" s="1">
        <v>6</v>
      </c>
      <c r="I328" s="1">
        <v>2</v>
      </c>
      <c r="J328" s="1">
        <v>0.16</v>
      </c>
      <c r="K328" t="str">
        <f t="shared" si="15"/>
        <v>Weekend</v>
      </c>
      <c r="L328" t="str">
        <f t="shared" si="16"/>
        <v>Morning</v>
      </c>
      <c r="M328" t="str">
        <f t="shared" si="17"/>
        <v>cloudy</v>
      </c>
      <c r="N328">
        <f>IFERROR(VLOOKUP(A328,Dataset2!A:Z,8,FALSE),"")</f>
        <v>8</v>
      </c>
    </row>
    <row r="329" spans="1:14" x14ac:dyDescent="0.25">
      <c r="A329" s="1">
        <v>328</v>
      </c>
      <c r="B329" s="2">
        <v>40558</v>
      </c>
      <c r="C329" s="1">
        <v>1</v>
      </c>
      <c r="D329" s="1">
        <v>0</v>
      </c>
      <c r="E329" s="1">
        <v>1</v>
      </c>
      <c r="F329" s="1">
        <v>3</v>
      </c>
      <c r="G329" s="1" t="b">
        <v>0</v>
      </c>
      <c r="H329" s="1">
        <v>6</v>
      </c>
      <c r="I329" s="1">
        <v>2</v>
      </c>
      <c r="J329" s="1">
        <v>0.16</v>
      </c>
      <c r="K329" t="str">
        <f t="shared" si="15"/>
        <v>Weekend</v>
      </c>
      <c r="L329" t="str">
        <f t="shared" si="16"/>
        <v>Morning</v>
      </c>
      <c r="M329" t="str">
        <f t="shared" si="17"/>
        <v>cloudy</v>
      </c>
      <c r="N329">
        <f>IFERROR(VLOOKUP(A329,Dataset2!A:Z,8,FALSE),"")</f>
        <v>5</v>
      </c>
    </row>
    <row r="330" spans="1:14" x14ac:dyDescent="0.25">
      <c r="A330" s="1">
        <v>329</v>
      </c>
      <c r="B330" s="2">
        <v>40558</v>
      </c>
      <c r="C330" s="1">
        <v>1</v>
      </c>
      <c r="D330" s="1">
        <v>0</v>
      </c>
      <c r="E330" s="1">
        <v>1</v>
      </c>
      <c r="F330" s="1">
        <v>4</v>
      </c>
      <c r="G330" s="1" t="b">
        <v>0</v>
      </c>
      <c r="H330" s="1">
        <v>6</v>
      </c>
      <c r="I330" s="1">
        <v>2</v>
      </c>
      <c r="J330" s="1">
        <v>0.16</v>
      </c>
      <c r="K330" t="str">
        <f t="shared" si="15"/>
        <v>Weekend</v>
      </c>
      <c r="L330" t="str">
        <f t="shared" si="16"/>
        <v>Morning</v>
      </c>
      <c r="M330" t="str">
        <f t="shared" si="17"/>
        <v>cloudy</v>
      </c>
      <c r="N330">
        <f>IFERROR(VLOOKUP(A330,Dataset2!A:Z,8,FALSE),"")</f>
        <v>1</v>
      </c>
    </row>
    <row r="331" spans="1:14" x14ac:dyDescent="0.25">
      <c r="A331" s="1">
        <v>330</v>
      </c>
      <c r="B331" s="2">
        <v>40558</v>
      </c>
      <c r="C331" s="1">
        <v>1</v>
      </c>
      <c r="D331" s="1">
        <v>0</v>
      </c>
      <c r="E331" s="1">
        <v>1</v>
      </c>
      <c r="F331" s="1">
        <v>5</v>
      </c>
      <c r="G331" s="1" t="b">
        <v>0</v>
      </c>
      <c r="H331" s="1">
        <v>6</v>
      </c>
      <c r="I331" s="1">
        <v>1</v>
      </c>
      <c r="J331" s="1">
        <v>0.16</v>
      </c>
      <c r="K331" t="str">
        <f t="shared" si="15"/>
        <v>Weekend</v>
      </c>
      <c r="L331" t="str">
        <f t="shared" si="16"/>
        <v>Morning</v>
      </c>
      <c r="M331" t="str">
        <f t="shared" si="17"/>
        <v>Clear</v>
      </c>
      <c r="N331">
        <f>IFERROR(VLOOKUP(A331,Dataset2!A:Z,8,FALSE),"")</f>
        <v>3</v>
      </c>
    </row>
    <row r="332" spans="1:14" x14ac:dyDescent="0.25">
      <c r="A332" s="1">
        <v>331</v>
      </c>
      <c r="B332" s="2">
        <v>40558</v>
      </c>
      <c r="C332" s="1">
        <v>1</v>
      </c>
      <c r="D332" s="1">
        <v>0</v>
      </c>
      <c r="E332" s="1">
        <v>1</v>
      </c>
      <c r="F332" s="1">
        <v>6</v>
      </c>
      <c r="G332" s="1" t="b">
        <v>0</v>
      </c>
      <c r="H332" s="1">
        <v>6</v>
      </c>
      <c r="I332" s="1">
        <v>1</v>
      </c>
      <c r="J332" s="1">
        <v>0.14000000000000001</v>
      </c>
      <c r="K332" t="str">
        <f t="shared" si="15"/>
        <v>Weekend</v>
      </c>
      <c r="L332" t="str">
        <f t="shared" si="16"/>
        <v>Morning</v>
      </c>
      <c r="M332" t="str">
        <f t="shared" si="17"/>
        <v>Clear</v>
      </c>
      <c r="N332">
        <f>IFERROR(VLOOKUP(A332,Dataset2!A:Z,8,FALSE),"")</f>
        <v>10</v>
      </c>
    </row>
    <row r="333" spans="1:14" x14ac:dyDescent="0.25">
      <c r="A333" s="1">
        <v>332</v>
      </c>
      <c r="B333" s="2">
        <v>40558</v>
      </c>
      <c r="C333" s="1">
        <v>1</v>
      </c>
      <c r="D333" s="1">
        <v>0</v>
      </c>
      <c r="E333" s="1">
        <v>1</v>
      </c>
      <c r="F333" s="1">
        <v>7</v>
      </c>
      <c r="G333" s="1" t="b">
        <v>0</v>
      </c>
      <c r="H333" s="1">
        <v>6</v>
      </c>
      <c r="I333" s="1">
        <v>1</v>
      </c>
      <c r="J333" s="1">
        <v>0.14000000000000001</v>
      </c>
      <c r="K333" t="str">
        <f t="shared" si="15"/>
        <v>Weekend</v>
      </c>
      <c r="L333" t="str">
        <f t="shared" si="16"/>
        <v>Morning</v>
      </c>
      <c r="M333" t="str">
        <f t="shared" si="17"/>
        <v>Clear</v>
      </c>
      <c r="N333">
        <f>IFERROR(VLOOKUP(A333,Dataset2!A:Z,8,FALSE),"")</f>
        <v>23</v>
      </c>
    </row>
    <row r="334" spans="1:14" x14ac:dyDescent="0.25">
      <c r="A334" s="1">
        <v>333</v>
      </c>
      <c r="B334" s="2">
        <v>40558</v>
      </c>
      <c r="C334" s="1">
        <v>1</v>
      </c>
      <c r="D334" s="1">
        <v>0</v>
      </c>
      <c r="E334" s="1">
        <v>1</v>
      </c>
      <c r="F334" s="1">
        <v>8</v>
      </c>
      <c r="G334" s="1" t="b">
        <v>0</v>
      </c>
      <c r="H334" s="1">
        <v>6</v>
      </c>
      <c r="I334" s="1">
        <v>1</v>
      </c>
      <c r="J334" s="1">
        <v>0.14000000000000001</v>
      </c>
      <c r="K334" t="str">
        <f t="shared" si="15"/>
        <v>Weekend</v>
      </c>
      <c r="L334" t="str">
        <f t="shared" si="16"/>
        <v>Morning</v>
      </c>
      <c r="M334" t="str">
        <f t="shared" si="17"/>
        <v>Clear</v>
      </c>
      <c r="N334">
        <f>IFERROR(VLOOKUP(A334,Dataset2!A:Z,8,FALSE),"")</f>
        <v>33</v>
      </c>
    </row>
    <row r="335" spans="1:14" x14ac:dyDescent="0.25">
      <c r="A335" s="1">
        <v>334</v>
      </c>
      <c r="B335" s="2">
        <v>40558</v>
      </c>
      <c r="C335" s="1">
        <v>1</v>
      </c>
      <c r="D335" s="1">
        <v>0</v>
      </c>
      <c r="E335" s="1">
        <v>1</v>
      </c>
      <c r="F335" s="1">
        <v>9</v>
      </c>
      <c r="G335" s="1" t="b">
        <v>0</v>
      </c>
      <c r="H335" s="1">
        <v>6</v>
      </c>
      <c r="I335" s="1">
        <v>1</v>
      </c>
      <c r="J335" s="1">
        <v>0.16</v>
      </c>
      <c r="K335" t="str">
        <f t="shared" si="15"/>
        <v>Weekend</v>
      </c>
      <c r="L335" t="str">
        <f t="shared" si="16"/>
        <v>Morning</v>
      </c>
      <c r="M335" t="str">
        <f t="shared" si="17"/>
        <v>Clear</v>
      </c>
      <c r="N335">
        <f>IFERROR(VLOOKUP(A335,Dataset2!A:Z,8,FALSE),"")</f>
        <v>59</v>
      </c>
    </row>
    <row r="336" spans="1:14" x14ac:dyDescent="0.25">
      <c r="A336" s="1">
        <v>335</v>
      </c>
      <c r="B336" s="2">
        <v>40558</v>
      </c>
      <c r="C336" s="1">
        <v>1</v>
      </c>
      <c r="D336" s="1">
        <v>0</v>
      </c>
      <c r="E336" s="1">
        <v>1</v>
      </c>
      <c r="F336" s="1">
        <v>10</v>
      </c>
      <c r="G336" s="1" t="b">
        <v>0</v>
      </c>
      <c r="H336" s="1">
        <v>6</v>
      </c>
      <c r="I336" s="1">
        <v>1</v>
      </c>
      <c r="J336" s="1">
        <v>0.18</v>
      </c>
      <c r="K336" t="str">
        <f t="shared" si="15"/>
        <v>Weekend</v>
      </c>
      <c r="L336" t="str">
        <f t="shared" si="16"/>
        <v>Morning</v>
      </c>
      <c r="M336" t="str">
        <f t="shared" si="17"/>
        <v>Clear</v>
      </c>
      <c r="N336">
        <f>IFERROR(VLOOKUP(A336,Dataset2!A:Z,8,FALSE),"")</f>
        <v>72</v>
      </c>
    </row>
    <row r="337" spans="1:14" x14ac:dyDescent="0.25">
      <c r="A337" s="1">
        <v>336</v>
      </c>
      <c r="B337" s="2">
        <v>40558</v>
      </c>
      <c r="C337" s="1">
        <v>1</v>
      </c>
      <c r="D337" s="1">
        <v>0</v>
      </c>
      <c r="E337" s="1">
        <v>1</v>
      </c>
      <c r="F337" s="1">
        <v>11</v>
      </c>
      <c r="G337" s="1" t="b">
        <v>0</v>
      </c>
      <c r="H337" s="1">
        <v>6</v>
      </c>
      <c r="I337" s="1">
        <v>1</v>
      </c>
      <c r="J337" s="1">
        <v>0.2</v>
      </c>
      <c r="K337" t="str">
        <f t="shared" si="15"/>
        <v>Weekend</v>
      </c>
      <c r="L337" t="str">
        <f t="shared" si="16"/>
        <v>Morning</v>
      </c>
      <c r="M337" t="str">
        <f t="shared" si="17"/>
        <v>Clear</v>
      </c>
      <c r="N337">
        <f>IFERROR(VLOOKUP(A337,Dataset2!A:Z,8,FALSE),"")</f>
        <v>89</v>
      </c>
    </row>
    <row r="338" spans="1:14" x14ac:dyDescent="0.25">
      <c r="A338" s="1">
        <v>337</v>
      </c>
      <c r="B338" s="2">
        <v>40558</v>
      </c>
      <c r="C338" s="1">
        <v>1</v>
      </c>
      <c r="D338" s="1">
        <v>0</v>
      </c>
      <c r="E338" s="1">
        <v>1</v>
      </c>
      <c r="F338" s="1">
        <v>12</v>
      </c>
      <c r="G338" s="1" t="b">
        <v>0</v>
      </c>
      <c r="H338" s="1">
        <v>6</v>
      </c>
      <c r="I338" s="1">
        <v>1</v>
      </c>
      <c r="J338" s="1">
        <v>0.24</v>
      </c>
      <c r="K338" t="str">
        <f t="shared" si="15"/>
        <v>Weekend</v>
      </c>
      <c r="L338" t="str">
        <f t="shared" si="16"/>
        <v>Afternoon</v>
      </c>
      <c r="M338" t="str">
        <f t="shared" si="17"/>
        <v>Clear</v>
      </c>
      <c r="N338">
        <f>IFERROR(VLOOKUP(A338,Dataset2!A:Z,8,FALSE),"")</f>
        <v>101</v>
      </c>
    </row>
    <row r="339" spans="1:14" x14ac:dyDescent="0.25">
      <c r="A339" s="1">
        <v>338</v>
      </c>
      <c r="B339" s="2">
        <v>40558</v>
      </c>
      <c r="C339" s="1">
        <v>1</v>
      </c>
      <c r="D339" s="1">
        <v>0</v>
      </c>
      <c r="E339" s="1">
        <v>1</v>
      </c>
      <c r="F339" s="1">
        <v>13</v>
      </c>
      <c r="G339" s="1" t="b">
        <v>0</v>
      </c>
      <c r="H339" s="1">
        <v>6</v>
      </c>
      <c r="I339" s="1">
        <v>1</v>
      </c>
      <c r="J339" s="1">
        <v>0.28000000000000003</v>
      </c>
      <c r="K339" t="str">
        <f t="shared" si="15"/>
        <v>Weekend</v>
      </c>
      <c r="L339" t="str">
        <f t="shared" si="16"/>
        <v>Afternoon</v>
      </c>
      <c r="M339" t="str">
        <f t="shared" si="17"/>
        <v>Clear</v>
      </c>
      <c r="N339">
        <f>IFERROR(VLOOKUP(A339,Dataset2!A:Z,8,FALSE),"")</f>
        <v>118</v>
      </c>
    </row>
    <row r="340" spans="1:14" x14ac:dyDescent="0.25">
      <c r="A340" s="1">
        <v>339</v>
      </c>
      <c r="B340" s="2">
        <v>40558</v>
      </c>
      <c r="C340" s="1">
        <v>1</v>
      </c>
      <c r="D340" s="1">
        <v>0</v>
      </c>
      <c r="E340" s="1">
        <v>1</v>
      </c>
      <c r="F340" s="1">
        <v>14</v>
      </c>
      <c r="G340" s="1" t="b">
        <v>0</v>
      </c>
      <c r="H340" s="1">
        <v>6</v>
      </c>
      <c r="I340" s="1">
        <v>1</v>
      </c>
      <c r="J340" s="1">
        <v>0.3</v>
      </c>
      <c r="K340" t="str">
        <f t="shared" si="15"/>
        <v>Weekend</v>
      </c>
      <c r="L340" t="str">
        <f t="shared" si="16"/>
        <v>Afternoon</v>
      </c>
      <c r="M340" t="str">
        <f t="shared" si="17"/>
        <v>Clear</v>
      </c>
      <c r="N340">
        <f>IFERROR(VLOOKUP(A340,Dataset2!A:Z,8,FALSE),"")</f>
        <v>129</v>
      </c>
    </row>
    <row r="341" spans="1:14" x14ac:dyDescent="0.25">
      <c r="A341" s="1">
        <v>340</v>
      </c>
      <c r="B341" s="2">
        <v>40558</v>
      </c>
      <c r="C341" s="1">
        <v>1</v>
      </c>
      <c r="D341" s="1">
        <v>0</v>
      </c>
      <c r="E341" s="1">
        <v>1</v>
      </c>
      <c r="F341" s="1">
        <v>15</v>
      </c>
      <c r="G341" s="1" t="b">
        <v>0</v>
      </c>
      <c r="H341" s="1">
        <v>6</v>
      </c>
      <c r="I341" s="1">
        <v>2</v>
      </c>
      <c r="J341" s="1">
        <v>0.32</v>
      </c>
      <c r="K341" t="str">
        <f t="shared" si="15"/>
        <v>Weekend</v>
      </c>
      <c r="L341" t="str">
        <f t="shared" si="16"/>
        <v>Afternoon</v>
      </c>
      <c r="M341" t="str">
        <f t="shared" si="17"/>
        <v>cloudy</v>
      </c>
      <c r="N341">
        <f>IFERROR(VLOOKUP(A341,Dataset2!A:Z,8,FALSE),"")</f>
        <v>128</v>
      </c>
    </row>
    <row r="342" spans="1:14" x14ac:dyDescent="0.25">
      <c r="A342" s="1">
        <v>341</v>
      </c>
      <c r="B342" s="2">
        <v>40558</v>
      </c>
      <c r="C342" s="1">
        <v>1</v>
      </c>
      <c r="D342" s="1">
        <v>0</v>
      </c>
      <c r="E342" s="1">
        <v>1</v>
      </c>
      <c r="F342" s="1">
        <v>16</v>
      </c>
      <c r="G342" s="1" t="b">
        <v>0</v>
      </c>
      <c r="H342" s="1">
        <v>6</v>
      </c>
      <c r="I342" s="1">
        <v>2</v>
      </c>
      <c r="J342" s="1">
        <v>0.34</v>
      </c>
      <c r="K342" t="str">
        <f t="shared" si="15"/>
        <v>Weekend</v>
      </c>
      <c r="L342" t="str">
        <f t="shared" si="16"/>
        <v>Afternoon</v>
      </c>
      <c r="M342" t="str">
        <f t="shared" si="17"/>
        <v>cloudy</v>
      </c>
      <c r="N342">
        <f>IFERROR(VLOOKUP(A342,Dataset2!A:Z,8,FALSE),"")</f>
        <v>83</v>
      </c>
    </row>
    <row r="343" spans="1:14" x14ac:dyDescent="0.25">
      <c r="A343" s="1">
        <v>342</v>
      </c>
      <c r="B343" s="2">
        <v>40558</v>
      </c>
      <c r="C343" s="1">
        <v>1</v>
      </c>
      <c r="D343" s="1">
        <v>0</v>
      </c>
      <c r="E343" s="1">
        <v>1</v>
      </c>
      <c r="F343" s="1">
        <v>17</v>
      </c>
      <c r="G343" s="1" t="b">
        <v>0</v>
      </c>
      <c r="H343" s="1">
        <v>6</v>
      </c>
      <c r="I343" s="1">
        <v>2</v>
      </c>
      <c r="J343" s="1">
        <v>0.32</v>
      </c>
      <c r="K343" t="str">
        <f t="shared" si="15"/>
        <v>Weekend</v>
      </c>
      <c r="L343" t="str">
        <f t="shared" si="16"/>
        <v>Afternoon</v>
      </c>
      <c r="M343" t="str">
        <f t="shared" si="17"/>
        <v>cloudy</v>
      </c>
      <c r="N343">
        <f>IFERROR(VLOOKUP(A343,Dataset2!A:Z,8,FALSE),"")</f>
        <v>84</v>
      </c>
    </row>
    <row r="344" spans="1:14" x14ac:dyDescent="0.25">
      <c r="A344" s="1">
        <v>343</v>
      </c>
      <c r="B344" s="2">
        <v>40558</v>
      </c>
      <c r="C344" s="1">
        <v>1</v>
      </c>
      <c r="D344" s="1">
        <v>0</v>
      </c>
      <c r="E344" s="1">
        <v>1</v>
      </c>
      <c r="F344" s="1">
        <v>18</v>
      </c>
      <c r="G344" s="1" t="b">
        <v>0</v>
      </c>
      <c r="H344" s="1">
        <v>6</v>
      </c>
      <c r="I344" s="1">
        <v>2</v>
      </c>
      <c r="J344" s="1">
        <v>0.3</v>
      </c>
      <c r="K344" t="str">
        <f t="shared" si="15"/>
        <v>Weekend</v>
      </c>
      <c r="L344" t="str">
        <f t="shared" si="16"/>
        <v>Evening</v>
      </c>
      <c r="M344" t="str">
        <f t="shared" si="17"/>
        <v>cloudy</v>
      </c>
      <c r="N344">
        <f>IFERROR(VLOOKUP(A344,Dataset2!A:Z,8,FALSE),"")</f>
        <v>74</v>
      </c>
    </row>
    <row r="345" spans="1:14" x14ac:dyDescent="0.25">
      <c r="A345" s="1">
        <v>344</v>
      </c>
      <c r="B345" s="2">
        <v>40558</v>
      </c>
      <c r="C345" s="1">
        <v>1</v>
      </c>
      <c r="D345" s="1">
        <v>0</v>
      </c>
      <c r="E345" s="1">
        <v>1</v>
      </c>
      <c r="F345" s="1">
        <v>19</v>
      </c>
      <c r="G345" s="1" t="b">
        <v>0</v>
      </c>
      <c r="H345" s="1">
        <v>6</v>
      </c>
      <c r="I345" s="1">
        <v>2</v>
      </c>
      <c r="J345" s="1">
        <v>0.32</v>
      </c>
      <c r="K345" t="str">
        <f t="shared" si="15"/>
        <v>Weekend</v>
      </c>
      <c r="L345" t="str">
        <f t="shared" si="16"/>
        <v>Evening</v>
      </c>
      <c r="M345" t="str">
        <f t="shared" si="17"/>
        <v>cloudy</v>
      </c>
      <c r="N345">
        <f>IFERROR(VLOOKUP(A345,Dataset2!A:Z,8,FALSE),"")</f>
        <v>41</v>
      </c>
    </row>
    <row r="346" spans="1:14" x14ac:dyDescent="0.25">
      <c r="A346" s="1">
        <v>345</v>
      </c>
      <c r="B346" s="2">
        <v>40558</v>
      </c>
      <c r="C346" s="1">
        <v>1</v>
      </c>
      <c r="D346" s="1">
        <v>0</v>
      </c>
      <c r="E346" s="1">
        <v>1</v>
      </c>
      <c r="F346" s="1">
        <v>20</v>
      </c>
      <c r="G346" s="1" t="b">
        <v>0</v>
      </c>
      <c r="H346" s="1">
        <v>6</v>
      </c>
      <c r="I346" s="1">
        <v>2</v>
      </c>
      <c r="J346" s="1">
        <v>0.32</v>
      </c>
      <c r="K346" t="str">
        <f t="shared" si="15"/>
        <v>Weekend</v>
      </c>
      <c r="L346" t="str">
        <f t="shared" si="16"/>
        <v>Evening</v>
      </c>
      <c r="M346" t="str">
        <f t="shared" si="17"/>
        <v>cloudy</v>
      </c>
      <c r="N346">
        <f>IFERROR(VLOOKUP(A346,Dataset2!A:Z,8,FALSE),"")</f>
        <v>57</v>
      </c>
    </row>
    <row r="347" spans="1:14" x14ac:dyDescent="0.25">
      <c r="A347" s="1">
        <v>346</v>
      </c>
      <c r="B347" s="2">
        <v>40558</v>
      </c>
      <c r="C347" s="1">
        <v>1</v>
      </c>
      <c r="D347" s="1">
        <v>0</v>
      </c>
      <c r="E347" s="1">
        <v>1</v>
      </c>
      <c r="F347" s="1">
        <v>21</v>
      </c>
      <c r="G347" s="1" t="b">
        <v>0</v>
      </c>
      <c r="H347" s="1">
        <v>6</v>
      </c>
      <c r="I347" s="1">
        <v>2</v>
      </c>
      <c r="J347" s="1">
        <v>0.32</v>
      </c>
      <c r="K347" t="str">
        <f t="shared" si="15"/>
        <v>Weekend</v>
      </c>
      <c r="L347" t="str">
        <f t="shared" si="16"/>
        <v>Evening</v>
      </c>
      <c r="M347" t="str">
        <f t="shared" si="17"/>
        <v>cloudy</v>
      </c>
      <c r="N347">
        <f>IFERROR(VLOOKUP(A347,Dataset2!A:Z,8,FALSE),"")</f>
        <v>26</v>
      </c>
    </row>
    <row r="348" spans="1:14" x14ac:dyDescent="0.25">
      <c r="A348" s="1">
        <v>347</v>
      </c>
      <c r="B348" s="2">
        <v>40558</v>
      </c>
      <c r="C348" s="1">
        <v>1</v>
      </c>
      <c r="D348" s="1">
        <v>0</v>
      </c>
      <c r="E348" s="1">
        <v>1</v>
      </c>
      <c r="F348" s="1">
        <v>22</v>
      </c>
      <c r="G348" s="1" t="b">
        <v>0</v>
      </c>
      <c r="H348" s="1">
        <v>6</v>
      </c>
      <c r="I348" s="1">
        <v>2</v>
      </c>
      <c r="J348" s="1">
        <v>0.3</v>
      </c>
      <c r="K348" t="str">
        <f t="shared" si="15"/>
        <v>Weekend</v>
      </c>
      <c r="L348" t="str">
        <f t="shared" si="16"/>
        <v>Evening</v>
      </c>
      <c r="M348" t="str">
        <f t="shared" si="17"/>
        <v>cloudy</v>
      </c>
      <c r="N348">
        <f>IFERROR(VLOOKUP(A348,Dataset2!A:Z,8,FALSE),"")</f>
        <v>44</v>
      </c>
    </row>
    <row r="349" spans="1:14" x14ac:dyDescent="0.25">
      <c r="A349" s="1">
        <v>348</v>
      </c>
      <c r="B349" s="2">
        <v>40558</v>
      </c>
      <c r="C349" s="1">
        <v>1</v>
      </c>
      <c r="D349" s="1">
        <v>0</v>
      </c>
      <c r="E349" s="1">
        <v>1</v>
      </c>
      <c r="F349" s="1">
        <v>23</v>
      </c>
      <c r="G349" s="1" t="b">
        <v>0</v>
      </c>
      <c r="H349" s="1">
        <v>6</v>
      </c>
      <c r="I349" s="1">
        <v>1</v>
      </c>
      <c r="J349" s="1">
        <v>0.3</v>
      </c>
      <c r="K349" t="str">
        <f t="shared" si="15"/>
        <v>Weekend</v>
      </c>
      <c r="L349" t="str">
        <f t="shared" si="16"/>
        <v>Evening</v>
      </c>
      <c r="M349" t="str">
        <f t="shared" si="17"/>
        <v>Clear</v>
      </c>
      <c r="N349">
        <f>IFERROR(VLOOKUP(A349,Dataset2!A:Z,8,FALSE),"")</f>
        <v>39</v>
      </c>
    </row>
    <row r="350" spans="1:14" x14ac:dyDescent="0.25">
      <c r="A350" s="1">
        <v>349</v>
      </c>
      <c r="B350" s="2">
        <v>40559</v>
      </c>
      <c r="C350" s="1">
        <v>1</v>
      </c>
      <c r="D350" s="1">
        <v>0</v>
      </c>
      <c r="E350" s="1">
        <v>1</v>
      </c>
      <c r="F350" s="1">
        <v>0</v>
      </c>
      <c r="G350" s="1" t="b">
        <v>0</v>
      </c>
      <c r="H350" s="1">
        <v>0</v>
      </c>
      <c r="I350" s="1">
        <v>1</v>
      </c>
      <c r="J350" s="1">
        <v>0.26</v>
      </c>
      <c r="K350" t="str">
        <f t="shared" si="15"/>
        <v>Weekend</v>
      </c>
      <c r="L350" t="str">
        <f t="shared" si="16"/>
        <v>Morning</v>
      </c>
      <c r="M350" t="str">
        <f t="shared" si="17"/>
        <v>Clear</v>
      </c>
      <c r="N350">
        <f>IFERROR(VLOOKUP(A350,Dataset2!A:Z,8,FALSE),"")</f>
        <v>23</v>
      </c>
    </row>
    <row r="351" spans="1:14" x14ac:dyDescent="0.25">
      <c r="A351" s="1">
        <v>350</v>
      </c>
      <c r="B351" s="2">
        <v>40559</v>
      </c>
      <c r="C351" s="1">
        <v>1</v>
      </c>
      <c r="D351" s="1">
        <v>0</v>
      </c>
      <c r="E351" s="1">
        <v>1</v>
      </c>
      <c r="F351" s="1">
        <v>1</v>
      </c>
      <c r="G351" s="1" t="b">
        <v>0</v>
      </c>
      <c r="H351" s="1">
        <v>0</v>
      </c>
      <c r="I351" s="1">
        <v>1</v>
      </c>
      <c r="J351" s="1">
        <v>0.26</v>
      </c>
      <c r="K351" t="str">
        <f t="shared" si="15"/>
        <v>Weekend</v>
      </c>
      <c r="L351" t="str">
        <f t="shared" si="16"/>
        <v>Morning</v>
      </c>
      <c r="M351" t="str">
        <f t="shared" si="17"/>
        <v>Clear</v>
      </c>
      <c r="N351">
        <f>IFERROR(VLOOKUP(A351,Dataset2!A:Z,8,FALSE),"")</f>
        <v>16</v>
      </c>
    </row>
    <row r="352" spans="1:14" x14ac:dyDescent="0.25">
      <c r="A352" s="1">
        <v>351</v>
      </c>
      <c r="B352" s="2">
        <v>40559</v>
      </c>
      <c r="C352" s="1">
        <v>1</v>
      </c>
      <c r="D352" s="1">
        <v>0</v>
      </c>
      <c r="E352" s="1">
        <v>1</v>
      </c>
      <c r="F352" s="1">
        <v>2</v>
      </c>
      <c r="G352" s="1" t="b">
        <v>0</v>
      </c>
      <c r="H352" s="1">
        <v>0</v>
      </c>
      <c r="I352" s="1">
        <v>1</v>
      </c>
      <c r="J352" s="1">
        <v>0.26</v>
      </c>
      <c r="K352" t="str">
        <f t="shared" si="15"/>
        <v>Weekend</v>
      </c>
      <c r="L352" t="str">
        <f t="shared" si="16"/>
        <v>Morning</v>
      </c>
      <c r="M352" t="str">
        <f t="shared" si="17"/>
        <v>Clear</v>
      </c>
      <c r="N352">
        <f>IFERROR(VLOOKUP(A352,Dataset2!A:Z,8,FALSE),"")</f>
        <v>15</v>
      </c>
    </row>
    <row r="353" spans="1:14" x14ac:dyDescent="0.25">
      <c r="A353" s="1">
        <v>352</v>
      </c>
      <c r="B353" s="2">
        <v>40559</v>
      </c>
      <c r="C353" s="1">
        <v>1</v>
      </c>
      <c r="D353" s="1">
        <v>0</v>
      </c>
      <c r="E353" s="1">
        <v>1</v>
      </c>
      <c r="F353" s="1">
        <v>3</v>
      </c>
      <c r="G353" s="1" t="b">
        <v>0</v>
      </c>
      <c r="H353" s="1">
        <v>0</v>
      </c>
      <c r="I353" s="1">
        <v>1</v>
      </c>
      <c r="J353" s="1">
        <v>0.22</v>
      </c>
      <c r="K353" t="str">
        <f t="shared" si="15"/>
        <v>Weekend</v>
      </c>
      <c r="L353" t="str">
        <f t="shared" si="16"/>
        <v>Morning</v>
      </c>
      <c r="M353" t="str">
        <f t="shared" si="17"/>
        <v>Clear</v>
      </c>
      <c r="N353">
        <f>IFERROR(VLOOKUP(A353,Dataset2!A:Z,8,FALSE),"")</f>
        <v>1</v>
      </c>
    </row>
    <row r="354" spans="1:14" x14ac:dyDescent="0.25">
      <c r="A354" s="1">
        <v>353</v>
      </c>
      <c r="B354" s="2">
        <v>40559</v>
      </c>
      <c r="C354" s="1">
        <v>1</v>
      </c>
      <c r="D354" s="1">
        <v>0</v>
      </c>
      <c r="E354" s="1">
        <v>1</v>
      </c>
      <c r="F354" s="1">
        <v>4</v>
      </c>
      <c r="G354" s="1" t="b">
        <v>0</v>
      </c>
      <c r="H354" s="1">
        <v>0</v>
      </c>
      <c r="I354" s="1">
        <v>1</v>
      </c>
      <c r="J354" s="1">
        <v>0.26</v>
      </c>
      <c r="K354" t="str">
        <f t="shared" si="15"/>
        <v>Weekend</v>
      </c>
      <c r="L354" t="str">
        <f t="shared" si="16"/>
        <v>Morning</v>
      </c>
      <c r="M354" t="str">
        <f t="shared" si="17"/>
        <v>Clear</v>
      </c>
      <c r="N354">
        <f>IFERROR(VLOOKUP(A354,Dataset2!A:Z,8,FALSE),"")</f>
        <v>2</v>
      </c>
    </row>
    <row r="355" spans="1:14" x14ac:dyDescent="0.25">
      <c r="A355" s="1">
        <v>354</v>
      </c>
      <c r="B355" s="2">
        <v>40559</v>
      </c>
      <c r="C355" s="1">
        <v>1</v>
      </c>
      <c r="D355" s="1">
        <v>0</v>
      </c>
      <c r="E355" s="1">
        <v>1</v>
      </c>
      <c r="F355" s="1">
        <v>5</v>
      </c>
      <c r="G355" s="1" t="b">
        <v>0</v>
      </c>
      <c r="H355" s="1">
        <v>0</v>
      </c>
      <c r="I355" s="1">
        <v>2</v>
      </c>
      <c r="J355" s="1">
        <v>0.26</v>
      </c>
      <c r="K355" t="str">
        <f t="shared" si="15"/>
        <v>Weekend</v>
      </c>
      <c r="L355" t="str">
        <f t="shared" si="16"/>
        <v>Morning</v>
      </c>
      <c r="M355" t="str">
        <f t="shared" si="17"/>
        <v>cloudy</v>
      </c>
      <c r="N355">
        <f>IFERROR(VLOOKUP(A355,Dataset2!A:Z,8,FALSE),"")</f>
        <v>1</v>
      </c>
    </row>
    <row r="356" spans="1:14" x14ac:dyDescent="0.25">
      <c r="A356" s="1">
        <v>355</v>
      </c>
      <c r="B356" s="2">
        <v>40559</v>
      </c>
      <c r="C356" s="1">
        <v>1</v>
      </c>
      <c r="D356" s="1">
        <v>0</v>
      </c>
      <c r="E356" s="1">
        <v>1</v>
      </c>
      <c r="F356" s="1">
        <v>6</v>
      </c>
      <c r="G356" s="1" t="b">
        <v>0</v>
      </c>
      <c r="H356" s="1">
        <v>0</v>
      </c>
      <c r="I356" s="1">
        <v>2</v>
      </c>
      <c r="J356" s="1">
        <v>0.26</v>
      </c>
      <c r="K356" t="str">
        <f t="shared" si="15"/>
        <v>Weekend</v>
      </c>
      <c r="L356" t="str">
        <f t="shared" si="16"/>
        <v>Morning</v>
      </c>
      <c r="M356" t="str">
        <f t="shared" si="17"/>
        <v>cloudy</v>
      </c>
      <c r="N356">
        <f>IFERROR(VLOOKUP(A356,Dataset2!A:Z,8,FALSE),"")</f>
        <v>3</v>
      </c>
    </row>
    <row r="357" spans="1:14" x14ac:dyDescent="0.25">
      <c r="A357" s="1">
        <v>356</v>
      </c>
      <c r="B357" s="2">
        <v>40559</v>
      </c>
      <c r="C357" s="1">
        <v>1</v>
      </c>
      <c r="D357" s="1">
        <v>0</v>
      </c>
      <c r="E357" s="1">
        <v>1</v>
      </c>
      <c r="F357" s="1">
        <v>7</v>
      </c>
      <c r="G357" s="1" t="b">
        <v>0</v>
      </c>
      <c r="H357" s="1">
        <v>0</v>
      </c>
      <c r="I357" s="1">
        <v>2</v>
      </c>
      <c r="J357" s="1">
        <v>0.24</v>
      </c>
      <c r="K357" t="str">
        <f t="shared" si="15"/>
        <v>Weekend</v>
      </c>
      <c r="L357" t="str">
        <f t="shared" si="16"/>
        <v>Morning</v>
      </c>
      <c r="M357" t="str">
        <f t="shared" si="17"/>
        <v>cloudy</v>
      </c>
      <c r="N357">
        <f>IFERROR(VLOOKUP(A357,Dataset2!A:Z,8,FALSE),"")</f>
        <v>18</v>
      </c>
    </row>
    <row r="358" spans="1:14" x14ac:dyDescent="0.25">
      <c r="A358" s="1">
        <v>357</v>
      </c>
      <c r="B358" s="2">
        <v>40559</v>
      </c>
      <c r="C358" s="1">
        <v>1</v>
      </c>
      <c r="D358" s="1">
        <v>0</v>
      </c>
      <c r="E358" s="1">
        <v>1</v>
      </c>
      <c r="F358" s="1">
        <v>8</v>
      </c>
      <c r="G358" s="1" t="b">
        <v>0</v>
      </c>
      <c r="H358" s="1">
        <v>0</v>
      </c>
      <c r="I358" s="1">
        <v>1</v>
      </c>
      <c r="J358" s="1">
        <v>0.22</v>
      </c>
      <c r="K358" t="str">
        <f t="shared" si="15"/>
        <v>Weekend</v>
      </c>
      <c r="L358" t="str">
        <f t="shared" si="16"/>
        <v>Morning</v>
      </c>
      <c r="M358" t="str">
        <f t="shared" si="17"/>
        <v>Clear</v>
      </c>
      <c r="N358">
        <f>IFERROR(VLOOKUP(A358,Dataset2!A:Z,8,FALSE),"")</f>
        <v>32</v>
      </c>
    </row>
    <row r="359" spans="1:14" x14ac:dyDescent="0.25">
      <c r="A359" s="1">
        <v>358</v>
      </c>
      <c r="B359" s="2">
        <v>40559</v>
      </c>
      <c r="C359" s="1">
        <v>1</v>
      </c>
      <c r="D359" s="1">
        <v>0</v>
      </c>
      <c r="E359" s="1">
        <v>1</v>
      </c>
      <c r="F359" s="1">
        <v>9</v>
      </c>
      <c r="G359" s="1" t="b">
        <v>0</v>
      </c>
      <c r="H359" s="1">
        <v>0</v>
      </c>
      <c r="I359" s="1">
        <v>1</v>
      </c>
      <c r="J359" s="1">
        <v>0.22</v>
      </c>
      <c r="K359" t="str">
        <f t="shared" si="15"/>
        <v>Weekend</v>
      </c>
      <c r="L359" t="str">
        <f t="shared" si="16"/>
        <v>Morning</v>
      </c>
      <c r="M359" t="str">
        <f t="shared" si="17"/>
        <v>Clear</v>
      </c>
      <c r="N359">
        <f>IFERROR(VLOOKUP(A359,Dataset2!A:Z,8,FALSE),"")</f>
        <v>79</v>
      </c>
    </row>
    <row r="360" spans="1:14" x14ac:dyDescent="0.25">
      <c r="A360" s="1">
        <v>359</v>
      </c>
      <c r="B360" s="2">
        <v>40559</v>
      </c>
      <c r="C360" s="1">
        <v>1</v>
      </c>
      <c r="D360" s="1">
        <v>0</v>
      </c>
      <c r="E360" s="1">
        <v>1</v>
      </c>
      <c r="F360" s="1">
        <v>10</v>
      </c>
      <c r="G360" s="1" t="b">
        <v>0</v>
      </c>
      <c r="H360" s="1">
        <v>0</v>
      </c>
      <c r="I360" s="1">
        <v>1</v>
      </c>
      <c r="J360" s="1">
        <v>0.22</v>
      </c>
      <c r="K360" t="str">
        <f t="shared" si="15"/>
        <v>Weekend</v>
      </c>
      <c r="L360" t="str">
        <f t="shared" si="16"/>
        <v>Morning</v>
      </c>
      <c r="M360" t="str">
        <f t="shared" si="17"/>
        <v>Clear</v>
      </c>
      <c r="N360">
        <f>IFERROR(VLOOKUP(A360,Dataset2!A:Z,8,FALSE),"")</f>
        <v>93</v>
      </c>
    </row>
    <row r="361" spans="1:14" x14ac:dyDescent="0.25">
      <c r="A361" s="1">
        <v>360</v>
      </c>
      <c r="B361" s="2">
        <v>40559</v>
      </c>
      <c r="C361" s="1">
        <v>1</v>
      </c>
      <c r="D361" s="1">
        <v>0</v>
      </c>
      <c r="E361" s="1">
        <v>1</v>
      </c>
      <c r="F361" s="1">
        <v>11</v>
      </c>
      <c r="G361" s="1" t="b">
        <v>0</v>
      </c>
      <c r="H361" s="1">
        <v>0</v>
      </c>
      <c r="I361" s="1">
        <v>1</v>
      </c>
      <c r="J361" s="1">
        <v>0.24</v>
      </c>
      <c r="K361" t="str">
        <f t="shared" si="15"/>
        <v>Weekend</v>
      </c>
      <c r="L361" t="str">
        <f t="shared" si="16"/>
        <v>Morning</v>
      </c>
      <c r="M361" t="str">
        <f t="shared" si="17"/>
        <v>Clear</v>
      </c>
      <c r="N361">
        <f>IFERROR(VLOOKUP(A361,Dataset2!A:Z,8,FALSE),"")</f>
        <v>104</v>
      </c>
    </row>
    <row r="362" spans="1:14" x14ac:dyDescent="0.25">
      <c r="A362" s="1">
        <v>361</v>
      </c>
      <c r="B362" s="2">
        <v>40559</v>
      </c>
      <c r="C362" s="1">
        <v>1</v>
      </c>
      <c r="D362" s="1">
        <v>0</v>
      </c>
      <c r="E362" s="1">
        <v>1</v>
      </c>
      <c r="F362" s="1">
        <v>12</v>
      </c>
      <c r="G362" s="1" t="b">
        <v>0</v>
      </c>
      <c r="H362" s="1">
        <v>0</v>
      </c>
      <c r="I362" s="1">
        <v>1</v>
      </c>
      <c r="J362" s="1">
        <v>0.24</v>
      </c>
      <c r="K362" t="str">
        <f t="shared" si="15"/>
        <v>Weekend</v>
      </c>
      <c r="L362" t="str">
        <f t="shared" si="16"/>
        <v>Afternoon</v>
      </c>
      <c r="M362" t="str">
        <f t="shared" si="17"/>
        <v>Clear</v>
      </c>
      <c r="N362">
        <f>IFERROR(VLOOKUP(A362,Dataset2!A:Z,8,FALSE),"")</f>
        <v>118</v>
      </c>
    </row>
    <row r="363" spans="1:14" x14ac:dyDescent="0.25">
      <c r="A363" s="1">
        <v>362</v>
      </c>
      <c r="B363" s="2">
        <v>40559</v>
      </c>
      <c r="C363" s="1">
        <v>1</v>
      </c>
      <c r="D363" s="1">
        <v>0</v>
      </c>
      <c r="E363" s="1">
        <v>1</v>
      </c>
      <c r="F363" s="1">
        <v>13</v>
      </c>
      <c r="G363" s="1" t="b">
        <v>0</v>
      </c>
      <c r="H363" s="1">
        <v>0</v>
      </c>
      <c r="I363" s="1">
        <v>1</v>
      </c>
      <c r="J363" s="1">
        <v>0.26</v>
      </c>
      <c r="K363" t="str">
        <f t="shared" si="15"/>
        <v>Weekend</v>
      </c>
      <c r="L363" t="str">
        <f t="shared" si="16"/>
        <v>Afternoon</v>
      </c>
      <c r="M363" t="str">
        <f t="shared" si="17"/>
        <v>Clear</v>
      </c>
      <c r="N363">
        <f>IFERROR(VLOOKUP(A363,Dataset2!A:Z,8,FALSE),"")</f>
        <v>91</v>
      </c>
    </row>
    <row r="364" spans="1:14" x14ac:dyDescent="0.25">
      <c r="A364" s="1">
        <v>363</v>
      </c>
      <c r="B364" s="2">
        <v>40559</v>
      </c>
      <c r="C364" s="1">
        <v>1</v>
      </c>
      <c r="D364" s="1">
        <v>0</v>
      </c>
      <c r="E364" s="1">
        <v>1</v>
      </c>
      <c r="F364" s="1">
        <v>14</v>
      </c>
      <c r="G364" s="1" t="b">
        <v>0</v>
      </c>
      <c r="H364" s="1">
        <v>0</v>
      </c>
      <c r="I364" s="1">
        <v>1</v>
      </c>
      <c r="J364" s="1">
        <v>0.28000000000000003</v>
      </c>
      <c r="K364" t="str">
        <f t="shared" si="15"/>
        <v>Weekend</v>
      </c>
      <c r="L364" t="str">
        <f t="shared" si="16"/>
        <v>Afternoon</v>
      </c>
      <c r="M364" t="str">
        <f t="shared" si="17"/>
        <v>Clear</v>
      </c>
      <c r="N364">
        <f>IFERROR(VLOOKUP(A364,Dataset2!A:Z,8,FALSE),"")</f>
        <v>113</v>
      </c>
    </row>
    <row r="365" spans="1:14" x14ac:dyDescent="0.25">
      <c r="A365" s="1">
        <v>364</v>
      </c>
      <c r="B365" s="2">
        <v>40559</v>
      </c>
      <c r="C365" s="1">
        <v>1</v>
      </c>
      <c r="D365" s="1">
        <v>0</v>
      </c>
      <c r="E365" s="1">
        <v>1</v>
      </c>
      <c r="F365" s="1">
        <v>15</v>
      </c>
      <c r="G365" s="1" t="b">
        <v>0</v>
      </c>
      <c r="H365" s="1">
        <v>0</v>
      </c>
      <c r="I365" s="1">
        <v>1</v>
      </c>
      <c r="J365" s="1">
        <v>0.26</v>
      </c>
      <c r="K365" t="str">
        <f t="shared" si="15"/>
        <v>Weekend</v>
      </c>
      <c r="L365" t="str">
        <f t="shared" si="16"/>
        <v>Afternoon</v>
      </c>
      <c r="M365" t="str">
        <f t="shared" si="17"/>
        <v>Clear</v>
      </c>
      <c r="N365">
        <f>IFERROR(VLOOKUP(A365,Dataset2!A:Z,8,FALSE),"")</f>
        <v>99</v>
      </c>
    </row>
    <row r="366" spans="1:14" x14ac:dyDescent="0.25">
      <c r="A366" s="1">
        <v>365</v>
      </c>
      <c r="B366" s="2">
        <v>40559</v>
      </c>
      <c r="C366" s="1">
        <v>1</v>
      </c>
      <c r="D366" s="1">
        <v>0</v>
      </c>
      <c r="E366" s="1">
        <v>1</v>
      </c>
      <c r="F366" s="1">
        <v>16</v>
      </c>
      <c r="G366" s="1" t="b">
        <v>0</v>
      </c>
      <c r="H366" s="1">
        <v>0</v>
      </c>
      <c r="I366" s="1">
        <v>1</v>
      </c>
      <c r="J366" s="1">
        <v>0.24</v>
      </c>
      <c r="K366" t="str">
        <f t="shared" si="15"/>
        <v>Weekend</v>
      </c>
      <c r="L366" t="str">
        <f t="shared" si="16"/>
        <v>Afternoon</v>
      </c>
      <c r="M366" t="str">
        <f t="shared" si="17"/>
        <v>Clear</v>
      </c>
      <c r="N366">
        <f>IFERROR(VLOOKUP(A366,Dataset2!A:Z,8,FALSE),"")</f>
        <v>105</v>
      </c>
    </row>
    <row r="367" spans="1:14" x14ac:dyDescent="0.25">
      <c r="A367" s="1">
        <v>366</v>
      </c>
      <c r="B367" s="2">
        <v>40559</v>
      </c>
      <c r="C367" s="1">
        <v>1</v>
      </c>
      <c r="D367" s="1">
        <v>0</v>
      </c>
      <c r="E367" s="1">
        <v>1</v>
      </c>
      <c r="F367" s="1">
        <v>17</v>
      </c>
      <c r="G367" s="1" t="b">
        <v>0</v>
      </c>
      <c r="H367" s="1">
        <v>0</v>
      </c>
      <c r="I367" s="1">
        <v>1</v>
      </c>
      <c r="J367" s="1">
        <v>0.22</v>
      </c>
      <c r="K367" t="str">
        <f t="shared" si="15"/>
        <v>Weekend</v>
      </c>
      <c r="L367" t="str">
        <f t="shared" si="16"/>
        <v>Afternoon</v>
      </c>
      <c r="M367" t="str">
        <f t="shared" si="17"/>
        <v>Clear</v>
      </c>
      <c r="N367">
        <f>IFERROR(VLOOKUP(A367,Dataset2!A:Z,8,FALSE),"")</f>
        <v>67</v>
      </c>
    </row>
    <row r="368" spans="1:14" x14ac:dyDescent="0.25">
      <c r="A368" s="1">
        <v>367</v>
      </c>
      <c r="B368" s="2">
        <v>40559</v>
      </c>
      <c r="C368" s="1">
        <v>1</v>
      </c>
      <c r="D368" s="1">
        <v>0</v>
      </c>
      <c r="E368" s="1">
        <v>1</v>
      </c>
      <c r="F368" s="1">
        <v>18</v>
      </c>
      <c r="G368" s="1" t="b">
        <v>0</v>
      </c>
      <c r="H368" s="1">
        <v>0</v>
      </c>
      <c r="I368" s="1">
        <v>1</v>
      </c>
      <c r="J368" s="1">
        <v>0.2</v>
      </c>
      <c r="K368" t="str">
        <f t="shared" si="15"/>
        <v>Weekend</v>
      </c>
      <c r="L368" t="str">
        <f t="shared" si="16"/>
        <v>Evening</v>
      </c>
      <c r="M368" t="str">
        <f t="shared" si="17"/>
        <v>Clear</v>
      </c>
      <c r="N368">
        <f>IFERROR(VLOOKUP(A368,Dataset2!A:Z,8,FALSE),"")</f>
        <v>61</v>
      </c>
    </row>
    <row r="369" spans="1:14" x14ac:dyDescent="0.25">
      <c r="A369" s="1">
        <v>368</v>
      </c>
      <c r="B369" s="2">
        <v>40559</v>
      </c>
      <c r="C369" s="1">
        <v>1</v>
      </c>
      <c r="D369" s="1">
        <v>0</v>
      </c>
      <c r="E369" s="1">
        <v>1</v>
      </c>
      <c r="F369" s="1">
        <v>19</v>
      </c>
      <c r="G369" s="1" t="b">
        <v>0</v>
      </c>
      <c r="H369" s="1">
        <v>0</v>
      </c>
      <c r="I369" s="1">
        <v>1</v>
      </c>
      <c r="J369" s="1">
        <v>0.18</v>
      </c>
      <c r="K369" t="str">
        <f t="shared" si="15"/>
        <v>Weekend</v>
      </c>
      <c r="L369" t="str">
        <f t="shared" si="16"/>
        <v>Evening</v>
      </c>
      <c r="M369" t="str">
        <f t="shared" si="17"/>
        <v>Clear</v>
      </c>
      <c r="N369">
        <f>IFERROR(VLOOKUP(A369,Dataset2!A:Z,8,FALSE),"")</f>
        <v>57</v>
      </c>
    </row>
    <row r="370" spans="1:14" x14ac:dyDescent="0.25">
      <c r="A370" s="1">
        <v>369</v>
      </c>
      <c r="B370" s="2">
        <v>40559</v>
      </c>
      <c r="C370" s="1">
        <v>1</v>
      </c>
      <c r="D370" s="1">
        <v>0</v>
      </c>
      <c r="E370" s="1">
        <v>1</v>
      </c>
      <c r="F370" s="1">
        <v>20</v>
      </c>
      <c r="G370" s="1" t="b">
        <v>0</v>
      </c>
      <c r="H370" s="1">
        <v>0</v>
      </c>
      <c r="I370" s="1">
        <v>1</v>
      </c>
      <c r="J370" s="1">
        <v>0.18</v>
      </c>
      <c r="K370" t="str">
        <f t="shared" si="15"/>
        <v>Weekend</v>
      </c>
      <c r="L370" t="str">
        <f t="shared" si="16"/>
        <v>Evening</v>
      </c>
      <c r="M370" t="str">
        <f t="shared" si="17"/>
        <v>Clear</v>
      </c>
      <c r="N370">
        <f>IFERROR(VLOOKUP(A370,Dataset2!A:Z,8,FALSE),"")</f>
        <v>28</v>
      </c>
    </row>
    <row r="371" spans="1:14" x14ac:dyDescent="0.25">
      <c r="A371" s="1">
        <v>370</v>
      </c>
      <c r="B371" s="2">
        <v>40559</v>
      </c>
      <c r="C371" s="1">
        <v>1</v>
      </c>
      <c r="D371" s="1">
        <v>0</v>
      </c>
      <c r="E371" s="1">
        <v>1</v>
      </c>
      <c r="F371" s="1">
        <v>21</v>
      </c>
      <c r="G371" s="1" t="b">
        <v>0</v>
      </c>
      <c r="H371" s="1">
        <v>0</v>
      </c>
      <c r="I371" s="1">
        <v>1</v>
      </c>
      <c r="J371" s="1">
        <v>0.18</v>
      </c>
      <c r="K371" t="str">
        <f t="shared" si="15"/>
        <v>Weekend</v>
      </c>
      <c r="L371" t="str">
        <f t="shared" si="16"/>
        <v>Evening</v>
      </c>
      <c r="M371" t="str">
        <f t="shared" si="17"/>
        <v>Clear</v>
      </c>
      <c r="N371">
        <f>IFERROR(VLOOKUP(A371,Dataset2!A:Z,8,FALSE),"")</f>
        <v>21</v>
      </c>
    </row>
    <row r="372" spans="1:14" x14ac:dyDescent="0.25">
      <c r="A372" s="1">
        <v>371</v>
      </c>
      <c r="B372" s="2">
        <v>40559</v>
      </c>
      <c r="C372" s="1">
        <v>1</v>
      </c>
      <c r="D372" s="1">
        <v>0</v>
      </c>
      <c r="E372" s="1">
        <v>1</v>
      </c>
      <c r="F372" s="1">
        <v>22</v>
      </c>
      <c r="G372" s="1" t="b">
        <v>0</v>
      </c>
      <c r="H372" s="1">
        <v>0</v>
      </c>
      <c r="I372" s="1">
        <v>2</v>
      </c>
      <c r="J372" s="1">
        <v>0.2</v>
      </c>
      <c r="K372" t="str">
        <f t="shared" si="15"/>
        <v>Weekend</v>
      </c>
      <c r="L372" t="str">
        <f t="shared" si="16"/>
        <v>Evening</v>
      </c>
      <c r="M372" t="str">
        <f t="shared" si="17"/>
        <v>cloudy</v>
      </c>
      <c r="N372">
        <f>IFERROR(VLOOKUP(A372,Dataset2!A:Z,8,FALSE),"")</f>
        <v>18</v>
      </c>
    </row>
    <row r="373" spans="1:14" x14ac:dyDescent="0.25">
      <c r="A373" s="1">
        <v>372</v>
      </c>
      <c r="B373" s="2">
        <v>40559</v>
      </c>
      <c r="C373" s="1">
        <v>1</v>
      </c>
      <c r="D373" s="1">
        <v>0</v>
      </c>
      <c r="E373" s="1">
        <v>1</v>
      </c>
      <c r="F373" s="1">
        <v>23</v>
      </c>
      <c r="G373" s="1" t="b">
        <v>0</v>
      </c>
      <c r="H373" s="1">
        <v>0</v>
      </c>
      <c r="I373" s="1">
        <v>2</v>
      </c>
      <c r="J373" s="1">
        <v>0.2</v>
      </c>
      <c r="K373" t="str">
        <f t="shared" si="15"/>
        <v>Weekend</v>
      </c>
      <c r="L373" t="str">
        <f t="shared" si="16"/>
        <v>Evening</v>
      </c>
      <c r="M373" t="str">
        <f t="shared" si="17"/>
        <v>cloudy</v>
      </c>
      <c r="N373">
        <f>IFERROR(VLOOKUP(A373,Dataset2!A:Z,8,FALSE),"")</f>
        <v>17</v>
      </c>
    </row>
    <row r="374" spans="1:14" x14ac:dyDescent="0.25">
      <c r="A374" s="1">
        <v>373</v>
      </c>
      <c r="B374" s="2">
        <v>40560</v>
      </c>
      <c r="C374" s="1">
        <v>1</v>
      </c>
      <c r="D374" s="1">
        <v>0</v>
      </c>
      <c r="E374" s="1">
        <v>1</v>
      </c>
      <c r="F374" s="1">
        <v>0</v>
      </c>
      <c r="G374" s="1" t="b">
        <v>1</v>
      </c>
      <c r="H374" s="1">
        <v>1</v>
      </c>
      <c r="I374" s="1">
        <v>2</v>
      </c>
      <c r="J374" s="1">
        <v>0.2</v>
      </c>
      <c r="K374" t="str">
        <f t="shared" si="15"/>
        <v>Weekday</v>
      </c>
      <c r="L374" t="str">
        <f t="shared" si="16"/>
        <v>Morning</v>
      </c>
      <c r="M374" t="str">
        <f t="shared" si="17"/>
        <v>cloudy</v>
      </c>
      <c r="N374">
        <f>IFERROR(VLOOKUP(A374,Dataset2!A:Z,8,FALSE),"")</f>
        <v>16</v>
      </c>
    </row>
    <row r="375" spans="1:14" x14ac:dyDescent="0.25">
      <c r="A375" s="1">
        <v>374</v>
      </c>
      <c r="B375" s="2">
        <v>40560</v>
      </c>
      <c r="C375" s="1">
        <v>1</v>
      </c>
      <c r="D375" s="1">
        <v>0</v>
      </c>
      <c r="E375" s="1">
        <v>1</v>
      </c>
      <c r="F375" s="1">
        <v>1</v>
      </c>
      <c r="G375" s="1" t="b">
        <v>1</v>
      </c>
      <c r="H375" s="1">
        <v>1</v>
      </c>
      <c r="I375" s="1">
        <v>2</v>
      </c>
      <c r="J375" s="1">
        <v>0.2</v>
      </c>
      <c r="K375" t="str">
        <f t="shared" si="15"/>
        <v>Weekday</v>
      </c>
      <c r="L375" t="str">
        <f t="shared" si="16"/>
        <v>Morning</v>
      </c>
      <c r="M375" t="str">
        <f t="shared" si="17"/>
        <v>cloudy</v>
      </c>
      <c r="N375">
        <f>IFERROR(VLOOKUP(A375,Dataset2!A:Z,8,FALSE),"")</f>
        <v>8</v>
      </c>
    </row>
    <row r="376" spans="1:14" x14ac:dyDescent="0.25">
      <c r="A376" s="1">
        <v>375</v>
      </c>
      <c r="B376" s="2">
        <v>40560</v>
      </c>
      <c r="C376" s="1">
        <v>1</v>
      </c>
      <c r="D376" s="1">
        <v>0</v>
      </c>
      <c r="E376" s="1">
        <v>1</v>
      </c>
      <c r="F376" s="1">
        <v>2</v>
      </c>
      <c r="G376" s="1" t="b">
        <v>1</v>
      </c>
      <c r="H376" s="1">
        <v>1</v>
      </c>
      <c r="I376" s="1">
        <v>2</v>
      </c>
      <c r="J376" s="1">
        <v>0.18</v>
      </c>
      <c r="K376" t="str">
        <f t="shared" si="15"/>
        <v>Weekday</v>
      </c>
      <c r="L376" t="str">
        <f t="shared" si="16"/>
        <v>Morning</v>
      </c>
      <c r="M376" t="str">
        <f t="shared" si="17"/>
        <v>cloudy</v>
      </c>
      <c r="N376">
        <f>IFERROR(VLOOKUP(A376,Dataset2!A:Z,8,FALSE),"")</f>
        <v>2</v>
      </c>
    </row>
    <row r="377" spans="1:14" x14ac:dyDescent="0.25">
      <c r="A377" s="1">
        <v>376</v>
      </c>
      <c r="B377" s="2">
        <v>40560</v>
      </c>
      <c r="C377" s="1">
        <v>1</v>
      </c>
      <c r="D377" s="1">
        <v>0</v>
      </c>
      <c r="E377" s="1">
        <v>1</v>
      </c>
      <c r="F377" s="1">
        <v>3</v>
      </c>
      <c r="G377" s="1" t="b">
        <v>1</v>
      </c>
      <c r="H377" s="1">
        <v>1</v>
      </c>
      <c r="I377" s="1">
        <v>2</v>
      </c>
      <c r="J377" s="1">
        <v>0.18</v>
      </c>
      <c r="K377" t="str">
        <f t="shared" si="15"/>
        <v>Weekday</v>
      </c>
      <c r="L377" t="str">
        <f t="shared" si="16"/>
        <v>Morning</v>
      </c>
      <c r="M377" t="str">
        <f t="shared" si="17"/>
        <v>cloudy</v>
      </c>
      <c r="N377">
        <f>IFERROR(VLOOKUP(A377,Dataset2!A:Z,8,FALSE),"")</f>
        <v>3</v>
      </c>
    </row>
    <row r="378" spans="1:14" x14ac:dyDescent="0.25">
      <c r="A378" s="1">
        <v>377</v>
      </c>
      <c r="B378" s="2">
        <v>40560</v>
      </c>
      <c r="C378" s="1">
        <v>1</v>
      </c>
      <c r="D378" s="1">
        <v>0</v>
      </c>
      <c r="E378" s="1">
        <v>1</v>
      </c>
      <c r="F378" s="1">
        <v>4</v>
      </c>
      <c r="G378" s="1" t="b">
        <v>1</v>
      </c>
      <c r="H378" s="1">
        <v>1</v>
      </c>
      <c r="I378" s="1">
        <v>2</v>
      </c>
      <c r="J378" s="1">
        <v>0.18</v>
      </c>
      <c r="K378" t="str">
        <f t="shared" si="15"/>
        <v>Weekday</v>
      </c>
      <c r="L378" t="str">
        <f t="shared" si="16"/>
        <v>Morning</v>
      </c>
      <c r="M378" t="str">
        <f t="shared" si="17"/>
        <v>cloudy</v>
      </c>
      <c r="N378">
        <f>IFERROR(VLOOKUP(A378,Dataset2!A:Z,8,FALSE),"")</f>
        <v>1</v>
      </c>
    </row>
    <row r="379" spans="1:14" x14ac:dyDescent="0.25">
      <c r="A379" s="1">
        <v>378</v>
      </c>
      <c r="B379" s="2">
        <v>40560</v>
      </c>
      <c r="C379" s="1">
        <v>1</v>
      </c>
      <c r="D379" s="1">
        <v>0</v>
      </c>
      <c r="E379" s="1">
        <v>1</v>
      </c>
      <c r="F379" s="1">
        <v>5</v>
      </c>
      <c r="G379" s="1" t="b">
        <v>1</v>
      </c>
      <c r="H379" s="1">
        <v>1</v>
      </c>
      <c r="I379" s="1">
        <v>2</v>
      </c>
      <c r="J379" s="1">
        <v>0.18</v>
      </c>
      <c r="K379" t="str">
        <f t="shared" si="15"/>
        <v>Weekday</v>
      </c>
      <c r="L379" t="str">
        <f t="shared" si="16"/>
        <v>Morning</v>
      </c>
      <c r="M379" t="str">
        <f t="shared" si="17"/>
        <v>cloudy</v>
      </c>
      <c r="N379">
        <f>IFERROR(VLOOKUP(A379,Dataset2!A:Z,8,FALSE),"")</f>
        <v>5</v>
      </c>
    </row>
    <row r="380" spans="1:14" x14ac:dyDescent="0.25">
      <c r="A380" s="1">
        <v>379</v>
      </c>
      <c r="B380" s="2">
        <v>40560</v>
      </c>
      <c r="C380" s="1">
        <v>1</v>
      </c>
      <c r="D380" s="1">
        <v>0</v>
      </c>
      <c r="E380" s="1">
        <v>1</v>
      </c>
      <c r="F380" s="1">
        <v>6</v>
      </c>
      <c r="G380" s="1" t="b">
        <v>1</v>
      </c>
      <c r="H380" s="1">
        <v>1</v>
      </c>
      <c r="I380" s="1">
        <v>2</v>
      </c>
      <c r="J380" s="1">
        <v>0.18</v>
      </c>
      <c r="K380" t="str">
        <f t="shared" si="15"/>
        <v>Weekday</v>
      </c>
      <c r="L380" t="str">
        <f t="shared" si="16"/>
        <v>Morning</v>
      </c>
      <c r="M380" t="str">
        <f t="shared" si="17"/>
        <v>cloudy</v>
      </c>
      <c r="N380">
        <f>IFERROR(VLOOKUP(A380,Dataset2!A:Z,8,FALSE),"")</f>
        <v>13</v>
      </c>
    </row>
    <row r="381" spans="1:14" x14ac:dyDescent="0.25">
      <c r="A381" s="1">
        <v>380</v>
      </c>
      <c r="B381" s="2">
        <v>40560</v>
      </c>
      <c r="C381" s="1">
        <v>1</v>
      </c>
      <c r="D381" s="1">
        <v>0</v>
      </c>
      <c r="E381" s="1">
        <v>1</v>
      </c>
      <c r="F381" s="1">
        <v>7</v>
      </c>
      <c r="G381" s="1" t="b">
        <v>1</v>
      </c>
      <c r="H381" s="1">
        <v>1</v>
      </c>
      <c r="I381" s="1">
        <v>2</v>
      </c>
      <c r="J381" s="1">
        <v>0.16</v>
      </c>
      <c r="K381" t="str">
        <f t="shared" si="15"/>
        <v>Weekday</v>
      </c>
      <c r="L381" t="str">
        <f t="shared" si="16"/>
        <v>Morning</v>
      </c>
      <c r="M381" t="str">
        <f t="shared" si="17"/>
        <v>cloudy</v>
      </c>
      <c r="N381">
        <f>IFERROR(VLOOKUP(A381,Dataset2!A:Z,8,FALSE),"")</f>
        <v>33</v>
      </c>
    </row>
    <row r="382" spans="1:14" x14ac:dyDescent="0.25">
      <c r="A382" s="1">
        <v>381</v>
      </c>
      <c r="B382" s="2">
        <v>40560</v>
      </c>
      <c r="C382" s="1">
        <v>1</v>
      </c>
      <c r="D382" s="1">
        <v>0</v>
      </c>
      <c r="E382" s="1">
        <v>1</v>
      </c>
      <c r="F382" s="1">
        <v>8</v>
      </c>
      <c r="G382" s="1" t="b">
        <v>1</v>
      </c>
      <c r="H382" s="1">
        <v>1</v>
      </c>
      <c r="I382" s="1">
        <v>2</v>
      </c>
      <c r="J382" s="1">
        <v>0.16</v>
      </c>
      <c r="K382" t="str">
        <f t="shared" si="15"/>
        <v>Weekday</v>
      </c>
      <c r="L382" t="str">
        <f t="shared" si="16"/>
        <v>Morning</v>
      </c>
      <c r="M382" t="str">
        <f t="shared" si="17"/>
        <v>cloudy</v>
      </c>
      <c r="N382">
        <f>IFERROR(VLOOKUP(A382,Dataset2!A:Z,8,FALSE),"")</f>
        <v>47</v>
      </c>
    </row>
    <row r="383" spans="1:14" x14ac:dyDescent="0.25">
      <c r="A383" s="1">
        <v>382</v>
      </c>
      <c r="B383" s="2">
        <v>40560</v>
      </c>
      <c r="C383" s="1">
        <v>1</v>
      </c>
      <c r="D383" s="1">
        <v>0</v>
      </c>
      <c r="E383" s="1">
        <v>1</v>
      </c>
      <c r="F383" s="1">
        <v>9</v>
      </c>
      <c r="G383" s="1" t="b">
        <v>1</v>
      </c>
      <c r="H383" s="1">
        <v>1</v>
      </c>
      <c r="I383" s="1">
        <v>2</v>
      </c>
      <c r="J383" s="1">
        <v>0.16</v>
      </c>
      <c r="K383" t="str">
        <f t="shared" si="15"/>
        <v>Weekday</v>
      </c>
      <c r="L383" t="str">
        <f t="shared" si="16"/>
        <v>Morning</v>
      </c>
      <c r="M383" t="str">
        <f t="shared" si="17"/>
        <v>cloudy</v>
      </c>
      <c r="N383">
        <f>IFERROR(VLOOKUP(A383,Dataset2!A:Z,8,FALSE),"")</f>
        <v>57</v>
      </c>
    </row>
    <row r="384" spans="1:14" x14ac:dyDescent="0.25">
      <c r="A384" s="1">
        <v>383</v>
      </c>
      <c r="B384" s="2">
        <v>40560</v>
      </c>
      <c r="C384" s="1">
        <v>1</v>
      </c>
      <c r="D384" s="1">
        <v>0</v>
      </c>
      <c r="E384" s="1">
        <v>1</v>
      </c>
      <c r="F384" s="1">
        <v>10</v>
      </c>
      <c r="G384" s="1" t="b">
        <v>1</v>
      </c>
      <c r="H384" s="1">
        <v>1</v>
      </c>
      <c r="I384" s="1">
        <v>2</v>
      </c>
      <c r="J384" s="1">
        <v>0.16</v>
      </c>
      <c r="K384" t="str">
        <f t="shared" si="15"/>
        <v>Weekday</v>
      </c>
      <c r="L384" t="str">
        <f t="shared" si="16"/>
        <v>Morning</v>
      </c>
      <c r="M384" t="str">
        <f t="shared" si="17"/>
        <v>cloudy</v>
      </c>
      <c r="N384">
        <f>IFERROR(VLOOKUP(A384,Dataset2!A:Z,8,FALSE),"")</f>
        <v>64</v>
      </c>
    </row>
    <row r="385" spans="1:14" x14ac:dyDescent="0.25">
      <c r="A385" s="1">
        <v>384</v>
      </c>
      <c r="B385" s="2">
        <v>40560</v>
      </c>
      <c r="C385" s="1">
        <v>1</v>
      </c>
      <c r="D385" s="1">
        <v>0</v>
      </c>
      <c r="E385" s="1">
        <v>1</v>
      </c>
      <c r="F385" s="1">
        <v>11</v>
      </c>
      <c r="G385" s="1" t="b">
        <v>1</v>
      </c>
      <c r="H385" s="1">
        <v>1</v>
      </c>
      <c r="I385" s="1">
        <v>2</v>
      </c>
      <c r="J385" s="1">
        <v>0.16</v>
      </c>
      <c r="K385" t="str">
        <f t="shared" si="15"/>
        <v>Weekday</v>
      </c>
      <c r="L385" t="str">
        <f t="shared" si="16"/>
        <v>Morning</v>
      </c>
      <c r="M385" t="str">
        <f t="shared" si="17"/>
        <v>cloudy</v>
      </c>
      <c r="N385">
        <f>IFERROR(VLOOKUP(A385,Dataset2!A:Z,8,FALSE),"")</f>
        <v>80</v>
      </c>
    </row>
    <row r="386" spans="1:14" x14ac:dyDescent="0.25">
      <c r="A386" s="1">
        <v>385</v>
      </c>
      <c r="B386" s="2">
        <v>40560</v>
      </c>
      <c r="C386" s="1">
        <v>1</v>
      </c>
      <c r="D386" s="1">
        <v>0</v>
      </c>
      <c r="E386" s="1">
        <v>1</v>
      </c>
      <c r="F386" s="1">
        <v>12</v>
      </c>
      <c r="G386" s="1" t="b">
        <v>1</v>
      </c>
      <c r="H386" s="1">
        <v>1</v>
      </c>
      <c r="I386" s="1">
        <v>2</v>
      </c>
      <c r="J386" s="1">
        <v>0.18</v>
      </c>
      <c r="K386" t="str">
        <f t="shared" si="15"/>
        <v>Weekday</v>
      </c>
      <c r="L386" t="str">
        <f t="shared" si="16"/>
        <v>Afternoon</v>
      </c>
      <c r="M386" t="str">
        <f t="shared" si="17"/>
        <v>cloudy</v>
      </c>
      <c r="N386">
        <f>IFERROR(VLOOKUP(A386,Dataset2!A:Z,8,FALSE),"")</f>
        <v>93</v>
      </c>
    </row>
    <row r="387" spans="1:14" x14ac:dyDescent="0.25">
      <c r="A387" s="1">
        <v>386</v>
      </c>
      <c r="B387" s="2">
        <v>40560</v>
      </c>
      <c r="C387" s="1">
        <v>1</v>
      </c>
      <c r="D387" s="1">
        <v>0</v>
      </c>
      <c r="E387" s="1">
        <v>1</v>
      </c>
      <c r="F387" s="1">
        <v>13</v>
      </c>
      <c r="G387" s="1" t="b">
        <v>1</v>
      </c>
      <c r="H387" s="1">
        <v>1</v>
      </c>
      <c r="I387" s="1">
        <v>2</v>
      </c>
      <c r="J387" s="1">
        <v>0.18</v>
      </c>
      <c r="K387" t="str">
        <f t="shared" ref="K387:K450" si="18">IF(OR(H387=0,H387=6),"Weekend","Weekday")</f>
        <v>Weekday</v>
      </c>
      <c r="L387" t="str">
        <f t="shared" ref="L387:L450" si="19">IF(F387&lt;12,"Morning",IF(F387&lt;18,"Afternoon","Evening"))</f>
        <v>Afternoon</v>
      </c>
      <c r="M387" t="str">
        <f t="shared" ref="M387:M450" si="20">IF(I387=1,"Clear",IF(I387=2,"cloudy",IF(I387=3,"Rain","Heavy Rain")))</f>
        <v>cloudy</v>
      </c>
      <c r="N387">
        <f>IFERROR(VLOOKUP(A387,Dataset2!A:Z,8,FALSE),"")</f>
        <v>86</v>
      </c>
    </row>
    <row r="388" spans="1:14" x14ac:dyDescent="0.25">
      <c r="A388" s="1">
        <v>387</v>
      </c>
      <c r="B388" s="2">
        <v>40560</v>
      </c>
      <c r="C388" s="1">
        <v>1</v>
      </c>
      <c r="D388" s="1">
        <v>0</v>
      </c>
      <c r="E388" s="1">
        <v>1</v>
      </c>
      <c r="F388" s="1">
        <v>14</v>
      </c>
      <c r="G388" s="1" t="b">
        <v>1</v>
      </c>
      <c r="H388" s="1">
        <v>1</v>
      </c>
      <c r="I388" s="1">
        <v>2</v>
      </c>
      <c r="J388" s="1">
        <v>0.18</v>
      </c>
      <c r="K388" t="str">
        <f t="shared" si="18"/>
        <v>Weekday</v>
      </c>
      <c r="L388" t="str">
        <f t="shared" si="19"/>
        <v>Afternoon</v>
      </c>
      <c r="M388" t="str">
        <f t="shared" si="20"/>
        <v>cloudy</v>
      </c>
      <c r="N388">
        <f>IFERROR(VLOOKUP(A388,Dataset2!A:Z,8,FALSE),"")</f>
        <v>93</v>
      </c>
    </row>
    <row r="389" spans="1:14" x14ac:dyDescent="0.25">
      <c r="A389" s="1">
        <v>388</v>
      </c>
      <c r="B389" s="2">
        <v>40560</v>
      </c>
      <c r="C389" s="1">
        <v>1</v>
      </c>
      <c r="D389" s="1">
        <v>0</v>
      </c>
      <c r="E389" s="1">
        <v>1</v>
      </c>
      <c r="F389" s="1">
        <v>15</v>
      </c>
      <c r="G389" s="1" t="b">
        <v>1</v>
      </c>
      <c r="H389" s="1">
        <v>1</v>
      </c>
      <c r="I389" s="1">
        <v>2</v>
      </c>
      <c r="J389" s="1">
        <v>0.2</v>
      </c>
      <c r="K389" t="str">
        <f t="shared" si="18"/>
        <v>Weekday</v>
      </c>
      <c r="L389" t="str">
        <f t="shared" si="19"/>
        <v>Afternoon</v>
      </c>
      <c r="M389" t="str">
        <f t="shared" si="20"/>
        <v>cloudy</v>
      </c>
      <c r="N389">
        <f>IFERROR(VLOOKUP(A389,Dataset2!A:Z,8,FALSE),"")</f>
        <v>82</v>
      </c>
    </row>
    <row r="390" spans="1:14" x14ac:dyDescent="0.25">
      <c r="A390" s="1">
        <v>389</v>
      </c>
      <c r="B390" s="2">
        <v>40560</v>
      </c>
      <c r="C390" s="1">
        <v>1</v>
      </c>
      <c r="D390" s="1">
        <v>0</v>
      </c>
      <c r="E390" s="1">
        <v>1</v>
      </c>
      <c r="F390" s="1">
        <v>16</v>
      </c>
      <c r="G390" s="1" t="b">
        <v>1</v>
      </c>
      <c r="H390" s="1">
        <v>1</v>
      </c>
      <c r="I390" s="1">
        <v>2</v>
      </c>
      <c r="J390" s="1">
        <v>0.2</v>
      </c>
      <c r="K390" t="str">
        <f t="shared" si="18"/>
        <v>Weekday</v>
      </c>
      <c r="L390" t="str">
        <f t="shared" si="19"/>
        <v>Afternoon</v>
      </c>
      <c r="M390" t="str">
        <f t="shared" si="20"/>
        <v>cloudy</v>
      </c>
      <c r="N390">
        <f>IFERROR(VLOOKUP(A390,Dataset2!A:Z,8,FALSE),"")</f>
        <v>71</v>
      </c>
    </row>
    <row r="391" spans="1:14" x14ac:dyDescent="0.25">
      <c r="A391" s="1">
        <v>390</v>
      </c>
      <c r="B391" s="2">
        <v>40560</v>
      </c>
      <c r="C391" s="1">
        <v>1</v>
      </c>
      <c r="D391" s="1">
        <v>0</v>
      </c>
      <c r="E391" s="1">
        <v>1</v>
      </c>
      <c r="F391" s="1">
        <v>17</v>
      </c>
      <c r="G391" s="1" t="b">
        <v>1</v>
      </c>
      <c r="H391" s="1">
        <v>1</v>
      </c>
      <c r="I391" s="1">
        <v>1</v>
      </c>
      <c r="J391" s="1">
        <v>0.2</v>
      </c>
      <c r="K391" t="str">
        <f t="shared" si="18"/>
        <v>Weekday</v>
      </c>
      <c r="L391" t="str">
        <f t="shared" si="19"/>
        <v>Afternoon</v>
      </c>
      <c r="M391" t="str">
        <f t="shared" si="20"/>
        <v>Clear</v>
      </c>
      <c r="N391">
        <f>IFERROR(VLOOKUP(A391,Dataset2!A:Z,8,FALSE),"")</f>
        <v>92</v>
      </c>
    </row>
    <row r="392" spans="1:14" x14ac:dyDescent="0.25">
      <c r="A392" s="1">
        <v>391</v>
      </c>
      <c r="B392" s="2">
        <v>40560</v>
      </c>
      <c r="C392" s="1">
        <v>1</v>
      </c>
      <c r="D392" s="1">
        <v>0</v>
      </c>
      <c r="E392" s="1">
        <v>1</v>
      </c>
      <c r="F392" s="1">
        <v>18</v>
      </c>
      <c r="G392" s="1" t="b">
        <v>1</v>
      </c>
      <c r="H392" s="1">
        <v>1</v>
      </c>
      <c r="I392" s="1">
        <v>2</v>
      </c>
      <c r="J392" s="1">
        <v>0.18</v>
      </c>
      <c r="K392" t="str">
        <f t="shared" si="18"/>
        <v>Weekday</v>
      </c>
      <c r="L392" t="str">
        <f t="shared" si="19"/>
        <v>Evening</v>
      </c>
      <c r="M392" t="str">
        <f t="shared" si="20"/>
        <v>cloudy</v>
      </c>
      <c r="N392">
        <f>IFERROR(VLOOKUP(A392,Dataset2!A:Z,8,FALSE),"")</f>
        <v>60</v>
      </c>
    </row>
    <row r="393" spans="1:14" x14ac:dyDescent="0.25">
      <c r="A393" s="1">
        <v>392</v>
      </c>
      <c r="B393" s="2">
        <v>40560</v>
      </c>
      <c r="C393" s="1">
        <v>1</v>
      </c>
      <c r="D393" s="1">
        <v>0</v>
      </c>
      <c r="E393" s="1">
        <v>1</v>
      </c>
      <c r="F393" s="1">
        <v>19</v>
      </c>
      <c r="G393" s="1" t="b">
        <v>1</v>
      </c>
      <c r="H393" s="1">
        <v>1</v>
      </c>
      <c r="I393" s="1">
        <v>3</v>
      </c>
      <c r="J393" s="1">
        <v>0.18</v>
      </c>
      <c r="K393" t="str">
        <f t="shared" si="18"/>
        <v>Weekday</v>
      </c>
      <c r="L393" t="str">
        <f t="shared" si="19"/>
        <v>Evening</v>
      </c>
      <c r="M393" t="str">
        <f t="shared" si="20"/>
        <v>Rain</v>
      </c>
      <c r="N393">
        <f>IFERROR(VLOOKUP(A393,Dataset2!A:Z,8,FALSE),"")</f>
        <v>33</v>
      </c>
    </row>
    <row r="394" spans="1:14" x14ac:dyDescent="0.25">
      <c r="A394" s="1">
        <v>393</v>
      </c>
      <c r="B394" s="2">
        <v>40560</v>
      </c>
      <c r="C394" s="1">
        <v>1</v>
      </c>
      <c r="D394" s="1">
        <v>0</v>
      </c>
      <c r="E394" s="1">
        <v>1</v>
      </c>
      <c r="F394" s="1">
        <v>20</v>
      </c>
      <c r="G394" s="1" t="b">
        <v>1</v>
      </c>
      <c r="H394" s="1">
        <v>1</v>
      </c>
      <c r="I394" s="1">
        <v>3</v>
      </c>
      <c r="J394" s="1">
        <v>0.16</v>
      </c>
      <c r="K394" t="str">
        <f t="shared" si="18"/>
        <v>Weekday</v>
      </c>
      <c r="L394" t="str">
        <f t="shared" si="19"/>
        <v>Evening</v>
      </c>
      <c r="M394" t="str">
        <f t="shared" si="20"/>
        <v>Rain</v>
      </c>
      <c r="N394">
        <f>IFERROR(VLOOKUP(A394,Dataset2!A:Z,8,FALSE),"")</f>
        <v>27</v>
      </c>
    </row>
    <row r="395" spans="1:14" x14ac:dyDescent="0.25">
      <c r="A395" s="1">
        <v>394</v>
      </c>
      <c r="B395" s="2">
        <v>40560</v>
      </c>
      <c r="C395" s="1">
        <v>1</v>
      </c>
      <c r="D395" s="1">
        <v>0</v>
      </c>
      <c r="E395" s="1">
        <v>1</v>
      </c>
      <c r="F395" s="1">
        <v>21</v>
      </c>
      <c r="G395" s="1" t="b">
        <v>1</v>
      </c>
      <c r="H395" s="1">
        <v>1</v>
      </c>
      <c r="I395" s="1">
        <v>3</v>
      </c>
      <c r="J395" s="1">
        <v>0.16</v>
      </c>
      <c r="K395" t="str">
        <f t="shared" si="18"/>
        <v>Weekday</v>
      </c>
      <c r="L395" t="str">
        <f t="shared" si="19"/>
        <v>Evening</v>
      </c>
      <c r="M395" t="str">
        <f t="shared" si="20"/>
        <v>Rain</v>
      </c>
      <c r="N395">
        <f>IFERROR(VLOOKUP(A395,Dataset2!A:Z,8,FALSE),"")</f>
        <v>13</v>
      </c>
    </row>
    <row r="396" spans="1:14" x14ac:dyDescent="0.25">
      <c r="A396" s="1">
        <v>395</v>
      </c>
      <c r="B396" s="2">
        <v>40560</v>
      </c>
      <c r="C396" s="1">
        <v>1</v>
      </c>
      <c r="D396" s="1">
        <v>0</v>
      </c>
      <c r="E396" s="1">
        <v>1</v>
      </c>
      <c r="F396" s="1">
        <v>22</v>
      </c>
      <c r="G396" s="1" t="b">
        <v>1</v>
      </c>
      <c r="H396" s="1">
        <v>1</v>
      </c>
      <c r="I396" s="1">
        <v>3</v>
      </c>
      <c r="J396" s="1">
        <v>0.14000000000000001</v>
      </c>
      <c r="K396" t="str">
        <f t="shared" si="18"/>
        <v>Weekday</v>
      </c>
      <c r="L396" t="str">
        <f t="shared" si="19"/>
        <v>Evening</v>
      </c>
      <c r="M396" t="str">
        <f t="shared" si="20"/>
        <v>Rain</v>
      </c>
      <c r="N396">
        <f>IFERROR(VLOOKUP(A396,Dataset2!A:Z,8,FALSE),"")</f>
        <v>4</v>
      </c>
    </row>
    <row r="397" spans="1:14" x14ac:dyDescent="0.25">
      <c r="A397" s="1">
        <v>396</v>
      </c>
      <c r="B397" s="2">
        <v>40560</v>
      </c>
      <c r="C397" s="1">
        <v>1</v>
      </c>
      <c r="D397" s="1">
        <v>0</v>
      </c>
      <c r="E397" s="1">
        <v>1</v>
      </c>
      <c r="F397" s="1">
        <v>23</v>
      </c>
      <c r="G397" s="1" t="b">
        <v>1</v>
      </c>
      <c r="H397" s="1">
        <v>1</v>
      </c>
      <c r="I397" s="1">
        <v>3</v>
      </c>
      <c r="J397" s="1">
        <v>0.16</v>
      </c>
      <c r="K397" t="str">
        <f t="shared" si="18"/>
        <v>Weekday</v>
      </c>
      <c r="L397" t="str">
        <f t="shared" si="19"/>
        <v>Evening</v>
      </c>
      <c r="M397" t="str">
        <f t="shared" si="20"/>
        <v>Rain</v>
      </c>
      <c r="N397">
        <f>IFERROR(VLOOKUP(A397,Dataset2!A:Z,8,FALSE),"")</f>
        <v>3</v>
      </c>
    </row>
    <row r="398" spans="1:14" x14ac:dyDescent="0.25">
      <c r="A398" s="1">
        <v>397</v>
      </c>
      <c r="B398" s="2">
        <v>40561</v>
      </c>
      <c r="C398" s="1">
        <v>1</v>
      </c>
      <c r="D398" s="1">
        <v>0</v>
      </c>
      <c r="E398" s="1">
        <v>1</v>
      </c>
      <c r="F398" s="1">
        <v>12</v>
      </c>
      <c r="G398" s="1" t="b">
        <v>0</v>
      </c>
      <c r="H398" s="1">
        <v>2</v>
      </c>
      <c r="I398" s="1">
        <v>2</v>
      </c>
      <c r="J398" s="1">
        <v>0.2</v>
      </c>
      <c r="K398" t="str">
        <f t="shared" si="18"/>
        <v>Weekday</v>
      </c>
      <c r="L398" t="str">
        <f t="shared" si="19"/>
        <v>Afternoon</v>
      </c>
      <c r="M398" t="str">
        <f t="shared" si="20"/>
        <v>cloudy</v>
      </c>
      <c r="N398">
        <f>IFERROR(VLOOKUP(A398,Dataset2!A:Z,8,FALSE),"")</f>
        <v>22</v>
      </c>
    </row>
    <row r="399" spans="1:14" x14ac:dyDescent="0.25">
      <c r="A399" s="1">
        <v>398</v>
      </c>
      <c r="B399" s="2">
        <v>40561</v>
      </c>
      <c r="C399" s="1">
        <v>1</v>
      </c>
      <c r="D399" s="1">
        <v>0</v>
      </c>
      <c r="E399" s="1">
        <v>1</v>
      </c>
      <c r="F399" s="1">
        <v>13</v>
      </c>
      <c r="G399" s="1" t="b">
        <v>0</v>
      </c>
      <c r="H399" s="1">
        <v>2</v>
      </c>
      <c r="I399" s="1">
        <v>2</v>
      </c>
      <c r="J399" s="1">
        <v>0.2</v>
      </c>
      <c r="K399" t="str">
        <f t="shared" si="18"/>
        <v>Weekday</v>
      </c>
      <c r="L399" t="str">
        <f t="shared" si="19"/>
        <v>Afternoon</v>
      </c>
      <c r="M399" t="str">
        <f t="shared" si="20"/>
        <v>cloudy</v>
      </c>
      <c r="N399">
        <f>IFERROR(VLOOKUP(A399,Dataset2!A:Z,8,FALSE),"")</f>
        <v>28</v>
      </c>
    </row>
    <row r="400" spans="1:14" x14ac:dyDescent="0.25">
      <c r="A400" s="1">
        <v>399</v>
      </c>
      <c r="B400" s="2">
        <v>40561</v>
      </c>
      <c r="C400" s="1">
        <v>1</v>
      </c>
      <c r="D400" s="1">
        <v>0</v>
      </c>
      <c r="E400" s="1">
        <v>1</v>
      </c>
      <c r="F400" s="1">
        <v>14</v>
      </c>
      <c r="G400" s="1" t="b">
        <v>0</v>
      </c>
      <c r="H400" s="1">
        <v>2</v>
      </c>
      <c r="I400" s="1">
        <v>2</v>
      </c>
      <c r="J400" s="1">
        <v>0.22</v>
      </c>
      <c r="K400" t="str">
        <f t="shared" si="18"/>
        <v>Weekday</v>
      </c>
      <c r="L400" t="str">
        <f t="shared" si="19"/>
        <v>Afternoon</v>
      </c>
      <c r="M400" t="str">
        <f t="shared" si="20"/>
        <v>cloudy</v>
      </c>
      <c r="N400">
        <f>IFERROR(VLOOKUP(A400,Dataset2!A:Z,8,FALSE),"")</f>
        <v>35</v>
      </c>
    </row>
    <row r="401" spans="1:14" x14ac:dyDescent="0.25">
      <c r="A401" s="1">
        <v>400</v>
      </c>
      <c r="B401" s="2">
        <v>40561</v>
      </c>
      <c r="C401" s="1">
        <v>1</v>
      </c>
      <c r="D401" s="1">
        <v>0</v>
      </c>
      <c r="E401" s="1">
        <v>1</v>
      </c>
      <c r="F401" s="1">
        <v>15</v>
      </c>
      <c r="G401" s="1" t="b">
        <v>0</v>
      </c>
      <c r="H401" s="1">
        <v>2</v>
      </c>
      <c r="I401" s="1">
        <v>2</v>
      </c>
      <c r="J401" s="1">
        <v>0.22</v>
      </c>
      <c r="K401" t="str">
        <f t="shared" si="18"/>
        <v>Weekday</v>
      </c>
      <c r="L401" t="str">
        <f t="shared" si="19"/>
        <v>Afternoon</v>
      </c>
      <c r="M401" t="str">
        <f t="shared" si="20"/>
        <v>cloudy</v>
      </c>
      <c r="N401">
        <f>IFERROR(VLOOKUP(A401,Dataset2!A:Z,8,FALSE),"")</f>
        <v>61</v>
      </c>
    </row>
    <row r="402" spans="1:14" x14ac:dyDescent="0.25">
      <c r="A402" s="1">
        <v>401</v>
      </c>
      <c r="B402" s="2">
        <v>40561</v>
      </c>
      <c r="C402" s="1">
        <v>1</v>
      </c>
      <c r="D402" s="1">
        <v>0</v>
      </c>
      <c r="E402" s="1">
        <v>1</v>
      </c>
      <c r="F402" s="1">
        <v>16</v>
      </c>
      <c r="G402" s="1" t="b">
        <v>0</v>
      </c>
      <c r="H402" s="1">
        <v>2</v>
      </c>
      <c r="I402" s="1">
        <v>2</v>
      </c>
      <c r="J402" s="1">
        <v>0.22</v>
      </c>
      <c r="K402" t="str">
        <f t="shared" si="18"/>
        <v>Weekday</v>
      </c>
      <c r="L402" t="str">
        <f t="shared" si="19"/>
        <v>Afternoon</v>
      </c>
      <c r="M402" t="str">
        <f t="shared" si="20"/>
        <v>cloudy</v>
      </c>
      <c r="N402">
        <f>IFERROR(VLOOKUP(A402,Dataset2!A:Z,8,FALSE),"")</f>
        <v>125</v>
      </c>
    </row>
    <row r="403" spans="1:14" x14ac:dyDescent="0.25">
      <c r="A403" s="1">
        <v>402</v>
      </c>
      <c r="B403" s="2">
        <v>40561</v>
      </c>
      <c r="C403" s="1">
        <v>1</v>
      </c>
      <c r="D403" s="1">
        <v>0</v>
      </c>
      <c r="E403" s="1">
        <v>1</v>
      </c>
      <c r="F403" s="1">
        <v>17</v>
      </c>
      <c r="G403" s="1" t="b">
        <v>0</v>
      </c>
      <c r="H403" s="1">
        <v>2</v>
      </c>
      <c r="I403" s="1">
        <v>2</v>
      </c>
      <c r="J403" s="1">
        <v>0.22</v>
      </c>
      <c r="K403" t="str">
        <f t="shared" si="18"/>
        <v>Weekday</v>
      </c>
      <c r="L403" t="str">
        <f t="shared" si="19"/>
        <v>Afternoon</v>
      </c>
      <c r="M403" t="str">
        <f t="shared" si="20"/>
        <v>cloudy</v>
      </c>
      <c r="N403">
        <f>IFERROR(VLOOKUP(A403,Dataset2!A:Z,8,FALSE),"")</f>
        <v>133</v>
      </c>
    </row>
    <row r="404" spans="1:14" x14ac:dyDescent="0.25">
      <c r="A404" s="1">
        <v>403</v>
      </c>
      <c r="B404" s="2">
        <v>40561</v>
      </c>
      <c r="C404" s="1">
        <v>1</v>
      </c>
      <c r="D404" s="1">
        <v>0</v>
      </c>
      <c r="E404" s="1">
        <v>1</v>
      </c>
      <c r="F404" s="1">
        <v>18</v>
      </c>
      <c r="G404" s="1" t="b">
        <v>0</v>
      </c>
      <c r="H404" s="1">
        <v>2</v>
      </c>
      <c r="I404" s="1">
        <v>2</v>
      </c>
      <c r="J404" s="1">
        <v>0.22</v>
      </c>
      <c r="K404" t="str">
        <f t="shared" si="18"/>
        <v>Weekday</v>
      </c>
      <c r="L404" t="str">
        <f t="shared" si="19"/>
        <v>Evening</v>
      </c>
      <c r="M404" t="str">
        <f t="shared" si="20"/>
        <v>cloudy</v>
      </c>
      <c r="N404">
        <f>IFERROR(VLOOKUP(A404,Dataset2!A:Z,8,FALSE),"")</f>
        <v>99</v>
      </c>
    </row>
    <row r="405" spans="1:14" x14ac:dyDescent="0.25">
      <c r="A405" s="1">
        <v>404</v>
      </c>
      <c r="B405" s="2">
        <v>40561</v>
      </c>
      <c r="C405" s="1">
        <v>1</v>
      </c>
      <c r="D405" s="1">
        <v>0</v>
      </c>
      <c r="E405" s="1">
        <v>1</v>
      </c>
      <c r="F405" s="1">
        <v>19</v>
      </c>
      <c r="G405" s="1" t="b">
        <v>0</v>
      </c>
      <c r="H405" s="1">
        <v>2</v>
      </c>
      <c r="I405" s="1">
        <v>2</v>
      </c>
      <c r="J405" s="1">
        <v>0.22</v>
      </c>
      <c r="K405" t="str">
        <f t="shared" si="18"/>
        <v>Weekday</v>
      </c>
      <c r="L405" t="str">
        <f t="shared" si="19"/>
        <v>Evening</v>
      </c>
      <c r="M405" t="str">
        <f t="shared" si="20"/>
        <v>cloudy</v>
      </c>
      <c r="N405">
        <f>IFERROR(VLOOKUP(A405,Dataset2!A:Z,8,FALSE),"")</f>
        <v>83</v>
      </c>
    </row>
    <row r="406" spans="1:14" x14ac:dyDescent="0.25">
      <c r="A406" s="1">
        <v>405</v>
      </c>
      <c r="B406" s="2">
        <v>40561</v>
      </c>
      <c r="C406" s="1">
        <v>1</v>
      </c>
      <c r="D406" s="1">
        <v>0</v>
      </c>
      <c r="E406" s="1">
        <v>1</v>
      </c>
      <c r="F406" s="1">
        <v>20</v>
      </c>
      <c r="G406" s="1" t="b">
        <v>0</v>
      </c>
      <c r="H406" s="1">
        <v>2</v>
      </c>
      <c r="I406" s="1">
        <v>2</v>
      </c>
      <c r="J406" s="1">
        <v>0.22</v>
      </c>
      <c r="K406" t="str">
        <f t="shared" si="18"/>
        <v>Weekday</v>
      </c>
      <c r="L406" t="str">
        <f t="shared" si="19"/>
        <v>Evening</v>
      </c>
      <c r="M406" t="str">
        <f t="shared" si="20"/>
        <v>cloudy</v>
      </c>
      <c r="N406">
        <f>IFERROR(VLOOKUP(A406,Dataset2!A:Z,8,FALSE),"")</f>
        <v>41</v>
      </c>
    </row>
    <row r="407" spans="1:14" x14ac:dyDescent="0.25">
      <c r="A407" s="1">
        <v>406</v>
      </c>
      <c r="B407" s="2">
        <v>40561</v>
      </c>
      <c r="C407" s="1">
        <v>1</v>
      </c>
      <c r="D407" s="1">
        <v>0</v>
      </c>
      <c r="E407" s="1">
        <v>1</v>
      </c>
      <c r="F407" s="1">
        <v>21</v>
      </c>
      <c r="G407" s="1" t="b">
        <v>0</v>
      </c>
      <c r="H407" s="1">
        <v>2</v>
      </c>
      <c r="I407" s="1">
        <v>2</v>
      </c>
      <c r="J407" s="1">
        <v>0.22</v>
      </c>
      <c r="K407" t="str">
        <f t="shared" si="18"/>
        <v>Weekday</v>
      </c>
      <c r="L407" t="str">
        <f t="shared" si="19"/>
        <v>Evening</v>
      </c>
      <c r="M407" t="str">
        <f t="shared" si="20"/>
        <v>cloudy</v>
      </c>
      <c r="N407">
        <f>IFERROR(VLOOKUP(A407,Dataset2!A:Z,8,FALSE),"")</f>
        <v>33</v>
      </c>
    </row>
    <row r="408" spans="1:14" x14ac:dyDescent="0.25">
      <c r="A408" s="1">
        <v>407</v>
      </c>
      <c r="B408" s="2">
        <v>40561</v>
      </c>
      <c r="C408" s="1">
        <v>1</v>
      </c>
      <c r="D408" s="1">
        <v>0</v>
      </c>
      <c r="E408" s="1">
        <v>1</v>
      </c>
      <c r="F408" s="1">
        <v>22</v>
      </c>
      <c r="G408" s="1" t="b">
        <v>0</v>
      </c>
      <c r="H408" s="1">
        <v>2</v>
      </c>
      <c r="I408" s="1">
        <v>2</v>
      </c>
      <c r="J408" s="1">
        <v>0.22</v>
      </c>
      <c r="K408" t="str">
        <f t="shared" si="18"/>
        <v>Weekday</v>
      </c>
      <c r="L408" t="str">
        <f t="shared" si="19"/>
        <v>Evening</v>
      </c>
      <c r="M408" t="str">
        <f t="shared" si="20"/>
        <v>cloudy</v>
      </c>
      <c r="N408">
        <f>IFERROR(VLOOKUP(A408,Dataset2!A:Z,8,FALSE),"")</f>
        <v>20</v>
      </c>
    </row>
    <row r="409" spans="1:14" x14ac:dyDescent="0.25">
      <c r="A409" s="1">
        <v>408</v>
      </c>
      <c r="B409" s="2">
        <v>40561</v>
      </c>
      <c r="C409" s="1">
        <v>1</v>
      </c>
      <c r="D409" s="1">
        <v>0</v>
      </c>
      <c r="E409" s="1">
        <v>1</v>
      </c>
      <c r="F409" s="1">
        <v>23</v>
      </c>
      <c r="G409" s="1" t="b">
        <v>0</v>
      </c>
      <c r="H409" s="1">
        <v>2</v>
      </c>
      <c r="I409" s="1">
        <v>2</v>
      </c>
      <c r="J409" s="1">
        <v>0.22</v>
      </c>
      <c r="K409" t="str">
        <f t="shared" si="18"/>
        <v>Weekday</v>
      </c>
      <c r="L409" t="str">
        <f t="shared" si="19"/>
        <v>Evening</v>
      </c>
      <c r="M409" t="str">
        <f t="shared" si="20"/>
        <v>cloudy</v>
      </c>
      <c r="N409">
        <f>IFERROR(VLOOKUP(A409,Dataset2!A:Z,8,FALSE),"")</f>
        <v>3</v>
      </c>
    </row>
    <row r="410" spans="1:14" x14ac:dyDescent="0.25">
      <c r="A410" s="1">
        <v>409</v>
      </c>
      <c r="B410" s="2">
        <v>40562</v>
      </c>
      <c r="C410" s="1">
        <v>1</v>
      </c>
      <c r="D410" s="1">
        <v>0</v>
      </c>
      <c r="E410" s="1">
        <v>1</v>
      </c>
      <c r="F410" s="1">
        <v>0</v>
      </c>
      <c r="G410" s="1" t="b">
        <v>0</v>
      </c>
      <c r="H410" s="1">
        <v>3</v>
      </c>
      <c r="I410" s="1">
        <v>2</v>
      </c>
      <c r="J410" s="1">
        <v>0.22</v>
      </c>
      <c r="K410" t="str">
        <f t="shared" si="18"/>
        <v>Weekday</v>
      </c>
      <c r="L410" t="str">
        <f t="shared" si="19"/>
        <v>Morning</v>
      </c>
      <c r="M410" t="str">
        <f t="shared" si="20"/>
        <v>cloudy</v>
      </c>
      <c r="N410">
        <f>IFERROR(VLOOKUP(A410,Dataset2!A:Z,8,FALSE),"")</f>
        <v>7</v>
      </c>
    </row>
    <row r="411" spans="1:14" x14ac:dyDescent="0.25">
      <c r="A411" s="1">
        <v>410</v>
      </c>
      <c r="B411" s="2">
        <v>40562</v>
      </c>
      <c r="C411" s="1">
        <v>1</v>
      </c>
      <c r="D411" s="1">
        <v>0</v>
      </c>
      <c r="E411" s="1">
        <v>1</v>
      </c>
      <c r="F411" s="1">
        <v>1</v>
      </c>
      <c r="G411" s="1" t="b">
        <v>0</v>
      </c>
      <c r="H411" s="1">
        <v>3</v>
      </c>
      <c r="I411" s="1">
        <v>3</v>
      </c>
      <c r="J411" s="1">
        <v>0.22</v>
      </c>
      <c r="K411" t="str">
        <f t="shared" si="18"/>
        <v>Weekday</v>
      </c>
      <c r="L411" t="str">
        <f t="shared" si="19"/>
        <v>Morning</v>
      </c>
      <c r="M411" t="str">
        <f t="shared" si="20"/>
        <v>Rain</v>
      </c>
      <c r="N411">
        <f>IFERROR(VLOOKUP(A411,Dataset2!A:Z,8,FALSE),"")</f>
        <v>3</v>
      </c>
    </row>
    <row r="412" spans="1:14" x14ac:dyDescent="0.25">
      <c r="A412" s="1">
        <v>411</v>
      </c>
      <c r="B412" s="2">
        <v>40562</v>
      </c>
      <c r="C412" s="1">
        <v>1</v>
      </c>
      <c r="D412" s="1">
        <v>0</v>
      </c>
      <c r="E412" s="1">
        <v>1</v>
      </c>
      <c r="F412" s="1">
        <v>2</v>
      </c>
      <c r="G412" s="1" t="b">
        <v>0</v>
      </c>
      <c r="H412" s="1">
        <v>3</v>
      </c>
      <c r="I412" s="1">
        <v>3</v>
      </c>
      <c r="J412" s="1">
        <v>0.22</v>
      </c>
      <c r="K412" t="str">
        <f t="shared" si="18"/>
        <v>Weekday</v>
      </c>
      <c r="L412" t="str">
        <f t="shared" si="19"/>
        <v>Morning</v>
      </c>
      <c r="M412" t="str">
        <f t="shared" si="20"/>
        <v>Rain</v>
      </c>
      <c r="N412">
        <f>IFERROR(VLOOKUP(A412,Dataset2!A:Z,8,FALSE),"")</f>
        <v>2</v>
      </c>
    </row>
    <row r="413" spans="1:14" x14ac:dyDescent="0.25">
      <c r="A413" s="1">
        <v>412</v>
      </c>
      <c r="B413" s="2">
        <v>40562</v>
      </c>
      <c r="C413" s="1">
        <v>1</v>
      </c>
      <c r="D413" s="1">
        <v>0</v>
      </c>
      <c r="E413" s="1">
        <v>1</v>
      </c>
      <c r="F413" s="1">
        <v>4</v>
      </c>
      <c r="G413" s="1" t="b">
        <v>0</v>
      </c>
      <c r="H413" s="1">
        <v>3</v>
      </c>
      <c r="I413" s="1">
        <v>3</v>
      </c>
      <c r="J413" s="1">
        <v>0.22</v>
      </c>
      <c r="K413" t="str">
        <f t="shared" si="18"/>
        <v>Weekday</v>
      </c>
      <c r="L413" t="str">
        <f t="shared" si="19"/>
        <v>Morning</v>
      </c>
      <c r="M413" t="str">
        <f t="shared" si="20"/>
        <v>Rain</v>
      </c>
      <c r="N413">
        <f>IFERROR(VLOOKUP(A413,Dataset2!A:Z,8,FALSE),"")</f>
        <v>7</v>
      </c>
    </row>
    <row r="414" spans="1:14" x14ac:dyDescent="0.25">
      <c r="A414" s="1">
        <v>413</v>
      </c>
      <c r="B414" s="2">
        <v>40562</v>
      </c>
      <c r="C414" s="1">
        <v>1</v>
      </c>
      <c r="D414" s="1">
        <v>0</v>
      </c>
      <c r="E414" s="1">
        <v>1</v>
      </c>
      <c r="F414" s="1">
        <v>5</v>
      </c>
      <c r="G414" s="1" t="b">
        <v>0</v>
      </c>
      <c r="H414" s="1">
        <v>3</v>
      </c>
      <c r="I414" s="1">
        <v>2</v>
      </c>
      <c r="J414" s="1">
        <v>0.22</v>
      </c>
      <c r="K414" t="str">
        <f t="shared" si="18"/>
        <v>Weekday</v>
      </c>
      <c r="L414" t="str">
        <f t="shared" si="19"/>
        <v>Morning</v>
      </c>
      <c r="M414" t="str">
        <f t="shared" si="20"/>
        <v>cloudy</v>
      </c>
      <c r="N414">
        <f>IFERROR(VLOOKUP(A414,Dataset2!A:Z,8,FALSE),"")</f>
        <v>32</v>
      </c>
    </row>
    <row r="415" spans="1:14" x14ac:dyDescent="0.25">
      <c r="A415" s="1">
        <v>414</v>
      </c>
      <c r="B415" s="2">
        <v>40562</v>
      </c>
      <c r="C415" s="1">
        <v>1</v>
      </c>
      <c r="D415" s="1">
        <v>0</v>
      </c>
      <c r="E415" s="1">
        <v>1</v>
      </c>
      <c r="F415" s="1">
        <v>6</v>
      </c>
      <c r="G415" s="1" t="b">
        <v>0</v>
      </c>
      <c r="H415" s="1">
        <v>3</v>
      </c>
      <c r="I415" s="1">
        <v>2</v>
      </c>
      <c r="J415" s="1">
        <v>0.22</v>
      </c>
      <c r="K415" t="str">
        <f t="shared" si="18"/>
        <v>Weekday</v>
      </c>
      <c r="L415" t="str">
        <f t="shared" si="19"/>
        <v>Morning</v>
      </c>
      <c r="M415" t="str">
        <f t="shared" si="20"/>
        <v>cloudy</v>
      </c>
      <c r="N415">
        <f>IFERROR(VLOOKUP(A415,Dataset2!A:Z,8,FALSE),"")</f>
        <v>90</v>
      </c>
    </row>
    <row r="416" spans="1:14" x14ac:dyDescent="0.25">
      <c r="A416" s="1">
        <v>415</v>
      </c>
      <c r="B416" s="2">
        <v>40562</v>
      </c>
      <c r="C416" s="1">
        <v>1</v>
      </c>
      <c r="D416" s="1">
        <v>0</v>
      </c>
      <c r="E416" s="1">
        <v>1</v>
      </c>
      <c r="F416" s="1">
        <v>7</v>
      </c>
      <c r="G416" s="1" t="b">
        <v>0</v>
      </c>
      <c r="H416" s="1">
        <v>3</v>
      </c>
      <c r="I416" s="1">
        <v>2</v>
      </c>
      <c r="J416" s="1">
        <v>0.24</v>
      </c>
      <c r="K416" t="str">
        <f t="shared" si="18"/>
        <v>Weekday</v>
      </c>
      <c r="L416" t="str">
        <f t="shared" si="19"/>
        <v>Morning</v>
      </c>
      <c r="M416" t="str">
        <f t="shared" si="20"/>
        <v>cloudy</v>
      </c>
      <c r="N416">
        <f>IFERROR(VLOOKUP(A416,Dataset2!A:Z,8,FALSE),"")</f>
        <v>197</v>
      </c>
    </row>
    <row r="417" spans="1:14" x14ac:dyDescent="0.25">
      <c r="A417" s="1">
        <v>416</v>
      </c>
      <c r="B417" s="2">
        <v>40562</v>
      </c>
      <c r="C417" s="1">
        <v>1</v>
      </c>
      <c r="D417" s="1">
        <v>0</v>
      </c>
      <c r="E417" s="1">
        <v>1</v>
      </c>
      <c r="F417" s="1">
        <v>8</v>
      </c>
      <c r="G417" s="1" t="b">
        <v>0</v>
      </c>
      <c r="H417" s="1">
        <v>3</v>
      </c>
      <c r="I417" s="1">
        <v>2</v>
      </c>
      <c r="J417" s="1">
        <v>0.24</v>
      </c>
      <c r="K417" t="str">
        <f t="shared" si="18"/>
        <v>Weekday</v>
      </c>
      <c r="L417" t="str">
        <f t="shared" si="19"/>
        <v>Morning</v>
      </c>
      <c r="M417" t="str">
        <f t="shared" si="20"/>
        <v>cloudy</v>
      </c>
      <c r="N417">
        <f>IFERROR(VLOOKUP(A417,Dataset2!A:Z,8,FALSE),"")</f>
        <v>109</v>
      </c>
    </row>
    <row r="418" spans="1:14" x14ac:dyDescent="0.25">
      <c r="A418" s="1">
        <v>417</v>
      </c>
      <c r="B418" s="2">
        <v>40562</v>
      </c>
      <c r="C418" s="1">
        <v>1</v>
      </c>
      <c r="D418" s="1">
        <v>0</v>
      </c>
      <c r="E418" s="1">
        <v>1</v>
      </c>
      <c r="F418" s="1">
        <v>9</v>
      </c>
      <c r="G418" s="1" t="b">
        <v>0</v>
      </c>
      <c r="H418" s="1">
        <v>3</v>
      </c>
      <c r="I418" s="1">
        <v>2</v>
      </c>
      <c r="J418" s="1">
        <v>0.24</v>
      </c>
      <c r="K418" t="str">
        <f t="shared" si="18"/>
        <v>Weekday</v>
      </c>
      <c r="L418" t="str">
        <f t="shared" si="19"/>
        <v>Morning</v>
      </c>
      <c r="M418" t="str">
        <f t="shared" si="20"/>
        <v>cloudy</v>
      </c>
      <c r="N418">
        <f>IFERROR(VLOOKUP(A418,Dataset2!A:Z,8,FALSE),"")</f>
        <v>47</v>
      </c>
    </row>
    <row r="419" spans="1:14" x14ac:dyDescent="0.25">
      <c r="A419" s="1">
        <v>418</v>
      </c>
      <c r="B419" s="2">
        <v>40562</v>
      </c>
      <c r="C419" s="1">
        <v>1</v>
      </c>
      <c r="D419" s="1">
        <v>0</v>
      </c>
      <c r="E419" s="1">
        <v>1</v>
      </c>
      <c r="F419" s="1">
        <v>10</v>
      </c>
      <c r="G419" s="1" t="b">
        <v>0</v>
      </c>
      <c r="H419" s="1">
        <v>3</v>
      </c>
      <c r="I419" s="1">
        <v>2</v>
      </c>
      <c r="J419" s="1">
        <v>0.26</v>
      </c>
      <c r="K419" t="str">
        <f t="shared" si="18"/>
        <v>Weekday</v>
      </c>
      <c r="L419" t="str">
        <f t="shared" si="19"/>
        <v>Morning</v>
      </c>
      <c r="M419" t="str">
        <f t="shared" si="20"/>
        <v>cloudy</v>
      </c>
      <c r="N419">
        <f>IFERROR(VLOOKUP(A419,Dataset2!A:Z,8,FALSE),"")</f>
        <v>52</v>
      </c>
    </row>
    <row r="420" spans="1:14" x14ac:dyDescent="0.25">
      <c r="A420" s="1">
        <v>419</v>
      </c>
      <c r="B420" s="2">
        <v>40562</v>
      </c>
      <c r="C420" s="1">
        <v>1</v>
      </c>
      <c r="D420" s="1">
        <v>0</v>
      </c>
      <c r="E420" s="1">
        <v>1</v>
      </c>
      <c r="F420" s="1">
        <v>11</v>
      </c>
      <c r="G420" s="1" t="b">
        <v>0</v>
      </c>
      <c r="H420" s="1">
        <v>3</v>
      </c>
      <c r="I420" s="1">
        <v>2</v>
      </c>
      <c r="J420" s="1">
        <v>0.28000000000000003</v>
      </c>
      <c r="K420" t="str">
        <f t="shared" si="18"/>
        <v>Weekday</v>
      </c>
      <c r="L420" t="str">
        <f t="shared" si="19"/>
        <v>Morning</v>
      </c>
      <c r="M420" t="str">
        <f t="shared" si="20"/>
        <v>cloudy</v>
      </c>
      <c r="N420">
        <f>IFERROR(VLOOKUP(A420,Dataset2!A:Z,8,FALSE),"")</f>
        <v>70</v>
      </c>
    </row>
    <row r="421" spans="1:14" x14ac:dyDescent="0.25">
      <c r="A421" s="1">
        <v>420</v>
      </c>
      <c r="B421" s="2">
        <v>40562</v>
      </c>
      <c r="C421" s="1">
        <v>1</v>
      </c>
      <c r="D421" s="1">
        <v>0</v>
      </c>
      <c r="E421" s="1">
        <v>1</v>
      </c>
      <c r="F421" s="1">
        <v>12</v>
      </c>
      <c r="G421" s="1" t="b">
        <v>0</v>
      </c>
      <c r="H421" s="1">
        <v>3</v>
      </c>
      <c r="I421" s="1">
        <v>2</v>
      </c>
      <c r="J421" s="1">
        <v>0.3</v>
      </c>
      <c r="K421" t="str">
        <f t="shared" si="18"/>
        <v>Weekday</v>
      </c>
      <c r="L421" t="str">
        <f t="shared" si="19"/>
        <v>Afternoon</v>
      </c>
      <c r="M421" t="str">
        <f t="shared" si="20"/>
        <v>cloudy</v>
      </c>
      <c r="N421">
        <f>IFERROR(VLOOKUP(A421,Dataset2!A:Z,8,FALSE),"")</f>
        <v>78</v>
      </c>
    </row>
    <row r="422" spans="1:14" x14ac:dyDescent="0.25">
      <c r="A422" s="1">
        <v>421</v>
      </c>
      <c r="B422" s="2">
        <v>40562</v>
      </c>
      <c r="C422" s="1">
        <v>1</v>
      </c>
      <c r="D422" s="1">
        <v>0</v>
      </c>
      <c r="E422" s="1">
        <v>1</v>
      </c>
      <c r="F422" s="1">
        <v>13</v>
      </c>
      <c r="G422" s="1" t="b">
        <v>0</v>
      </c>
      <c r="H422" s="1">
        <v>3</v>
      </c>
      <c r="I422" s="1">
        <v>1</v>
      </c>
      <c r="J422" s="1">
        <v>0.4</v>
      </c>
      <c r="K422" t="str">
        <f t="shared" si="18"/>
        <v>Weekday</v>
      </c>
      <c r="L422" t="str">
        <f t="shared" si="19"/>
        <v>Afternoon</v>
      </c>
      <c r="M422" t="str">
        <f t="shared" si="20"/>
        <v>Clear</v>
      </c>
      <c r="N422">
        <f>IFERROR(VLOOKUP(A422,Dataset2!A:Z,8,FALSE),"")</f>
        <v>75</v>
      </c>
    </row>
    <row r="423" spans="1:14" x14ac:dyDescent="0.25">
      <c r="A423" s="1">
        <v>422</v>
      </c>
      <c r="B423" s="2">
        <v>40562</v>
      </c>
      <c r="C423" s="1">
        <v>1</v>
      </c>
      <c r="D423" s="1">
        <v>0</v>
      </c>
      <c r="E423" s="1">
        <v>1</v>
      </c>
      <c r="F423" s="1">
        <v>14</v>
      </c>
      <c r="G423" s="1" t="b">
        <v>0</v>
      </c>
      <c r="H423" s="1">
        <v>3</v>
      </c>
      <c r="I423" s="1">
        <v>1</v>
      </c>
      <c r="J423" s="1">
        <v>0.4</v>
      </c>
      <c r="K423" t="str">
        <f t="shared" si="18"/>
        <v>Weekday</v>
      </c>
      <c r="L423" t="str">
        <f t="shared" si="19"/>
        <v>Afternoon</v>
      </c>
      <c r="M423" t="str">
        <f t="shared" si="20"/>
        <v>Clear</v>
      </c>
      <c r="N423">
        <f>IFERROR(VLOOKUP(A423,Dataset2!A:Z,8,FALSE),"")</f>
        <v>82</v>
      </c>
    </row>
    <row r="424" spans="1:14" x14ac:dyDescent="0.25">
      <c r="A424" s="1">
        <v>423</v>
      </c>
      <c r="B424" s="2">
        <v>40562</v>
      </c>
      <c r="C424" s="1">
        <v>1</v>
      </c>
      <c r="D424" s="1">
        <v>0</v>
      </c>
      <c r="E424" s="1">
        <v>1</v>
      </c>
      <c r="F424" s="1">
        <v>15</v>
      </c>
      <c r="G424" s="1" t="b">
        <v>0</v>
      </c>
      <c r="H424" s="1">
        <v>3</v>
      </c>
      <c r="I424" s="1">
        <v>1</v>
      </c>
      <c r="J424" s="1">
        <v>0.4</v>
      </c>
      <c r="K424" t="str">
        <f t="shared" si="18"/>
        <v>Weekday</v>
      </c>
      <c r="L424" t="str">
        <f t="shared" si="19"/>
        <v>Afternoon</v>
      </c>
      <c r="M424" t="str">
        <f t="shared" si="20"/>
        <v>Clear</v>
      </c>
      <c r="N424">
        <f>IFERROR(VLOOKUP(A424,Dataset2!A:Z,8,FALSE),"")</f>
        <v>104</v>
      </c>
    </row>
    <row r="425" spans="1:14" x14ac:dyDescent="0.25">
      <c r="A425" s="1">
        <v>424</v>
      </c>
      <c r="B425" s="2">
        <v>40562</v>
      </c>
      <c r="C425" s="1">
        <v>1</v>
      </c>
      <c r="D425" s="1">
        <v>0</v>
      </c>
      <c r="E425" s="1">
        <v>1</v>
      </c>
      <c r="F425" s="1">
        <v>16</v>
      </c>
      <c r="G425" s="1" t="b">
        <v>0</v>
      </c>
      <c r="H425" s="1">
        <v>3</v>
      </c>
      <c r="I425" s="1">
        <v>1</v>
      </c>
      <c r="J425" s="1">
        <v>0.38</v>
      </c>
      <c r="K425" t="str">
        <f t="shared" si="18"/>
        <v>Weekday</v>
      </c>
      <c r="L425" t="str">
        <f t="shared" si="19"/>
        <v>Afternoon</v>
      </c>
      <c r="M425" t="str">
        <f t="shared" si="20"/>
        <v>Clear</v>
      </c>
      <c r="N425">
        <f>IFERROR(VLOOKUP(A425,Dataset2!A:Z,8,FALSE),"")</f>
        <v>197</v>
      </c>
    </row>
    <row r="426" spans="1:14" x14ac:dyDescent="0.25">
      <c r="A426" s="1">
        <v>425</v>
      </c>
      <c r="B426" s="2">
        <v>40562</v>
      </c>
      <c r="C426" s="1">
        <v>1</v>
      </c>
      <c r="D426" s="1">
        <v>0</v>
      </c>
      <c r="E426" s="1">
        <v>1</v>
      </c>
      <c r="F426" s="1">
        <v>17</v>
      </c>
      <c r="G426" s="1" t="b">
        <v>0</v>
      </c>
      <c r="H426" s="1">
        <v>3</v>
      </c>
      <c r="I426" s="1">
        <v>1</v>
      </c>
      <c r="J426" s="1">
        <v>0.36</v>
      </c>
      <c r="K426" t="str">
        <f t="shared" si="18"/>
        <v>Weekday</v>
      </c>
      <c r="L426" t="str">
        <f t="shared" si="19"/>
        <v>Afternoon</v>
      </c>
      <c r="M426" t="str">
        <f t="shared" si="20"/>
        <v>Clear</v>
      </c>
      <c r="N426">
        <f>IFERROR(VLOOKUP(A426,Dataset2!A:Z,8,FALSE),"")</f>
        <v>161</v>
      </c>
    </row>
    <row r="427" spans="1:14" x14ac:dyDescent="0.25">
      <c r="A427" s="1">
        <v>426</v>
      </c>
      <c r="B427" s="2">
        <v>40562</v>
      </c>
      <c r="C427" s="1">
        <v>1</v>
      </c>
      <c r="D427" s="1">
        <v>0</v>
      </c>
      <c r="E427" s="1">
        <v>1</v>
      </c>
      <c r="F427" s="1">
        <v>18</v>
      </c>
      <c r="G427" s="1" t="b">
        <v>0</v>
      </c>
      <c r="H427" s="1">
        <v>3</v>
      </c>
      <c r="I427" s="1">
        <v>1</v>
      </c>
      <c r="J427" s="1">
        <v>0.34</v>
      </c>
      <c r="K427" t="str">
        <f t="shared" si="18"/>
        <v>Weekday</v>
      </c>
      <c r="L427" t="str">
        <f t="shared" si="19"/>
        <v>Evening</v>
      </c>
      <c r="M427" t="str">
        <f t="shared" si="20"/>
        <v>Clear</v>
      </c>
      <c r="N427">
        <f>IFERROR(VLOOKUP(A427,Dataset2!A:Z,8,FALSE),"")</f>
        <v>112</v>
      </c>
    </row>
    <row r="428" spans="1:14" x14ac:dyDescent="0.25">
      <c r="A428" s="1">
        <v>427</v>
      </c>
      <c r="B428" s="2">
        <v>40562</v>
      </c>
      <c r="C428" s="1">
        <v>1</v>
      </c>
      <c r="D428" s="1">
        <v>0</v>
      </c>
      <c r="E428" s="1">
        <v>1</v>
      </c>
      <c r="F428" s="1">
        <v>19</v>
      </c>
      <c r="G428" s="1" t="b">
        <v>0</v>
      </c>
      <c r="H428" s="1">
        <v>3</v>
      </c>
      <c r="I428" s="1">
        <v>1</v>
      </c>
      <c r="J428" s="1">
        <v>0.32</v>
      </c>
      <c r="K428" t="str">
        <f t="shared" si="18"/>
        <v>Weekday</v>
      </c>
      <c r="L428" t="str">
        <f t="shared" si="19"/>
        <v>Evening</v>
      </c>
      <c r="M428" t="str">
        <f t="shared" si="20"/>
        <v>Clear</v>
      </c>
      <c r="N428">
        <f>IFERROR(VLOOKUP(A428,Dataset2!A:Z,8,FALSE),"")</f>
        <v>76</v>
      </c>
    </row>
    <row r="429" spans="1:14" x14ac:dyDescent="0.25">
      <c r="A429" s="1">
        <v>428</v>
      </c>
      <c r="B429" s="2">
        <v>40562</v>
      </c>
      <c r="C429" s="1">
        <v>1</v>
      </c>
      <c r="D429" s="1">
        <v>0</v>
      </c>
      <c r="E429" s="1">
        <v>1</v>
      </c>
      <c r="F429" s="1">
        <v>20</v>
      </c>
      <c r="G429" s="1" t="b">
        <v>0</v>
      </c>
      <c r="H429" s="1">
        <v>3</v>
      </c>
      <c r="I429" s="1">
        <v>1</v>
      </c>
      <c r="J429" s="1">
        <v>0.32</v>
      </c>
      <c r="K429" t="str">
        <f t="shared" si="18"/>
        <v>Weekday</v>
      </c>
      <c r="L429" t="str">
        <f t="shared" si="19"/>
        <v>Evening</v>
      </c>
      <c r="M429" t="str">
        <f t="shared" si="20"/>
        <v>Clear</v>
      </c>
      <c r="N429">
        <f>IFERROR(VLOOKUP(A429,Dataset2!A:Z,8,FALSE),"")</f>
        <v>59</v>
      </c>
    </row>
    <row r="430" spans="1:14" x14ac:dyDescent="0.25">
      <c r="A430" s="1">
        <v>429</v>
      </c>
      <c r="B430" s="2">
        <v>40562</v>
      </c>
      <c r="C430" s="1">
        <v>1</v>
      </c>
      <c r="D430" s="1">
        <v>0</v>
      </c>
      <c r="E430" s="1">
        <v>1</v>
      </c>
      <c r="F430" s="1">
        <v>21</v>
      </c>
      <c r="G430" s="1" t="b">
        <v>0</v>
      </c>
      <c r="H430" s="1">
        <v>3</v>
      </c>
      <c r="I430" s="1">
        <v>1</v>
      </c>
      <c r="J430" s="1">
        <v>0.32</v>
      </c>
      <c r="K430" t="str">
        <f t="shared" si="18"/>
        <v>Weekday</v>
      </c>
      <c r="L430" t="str">
        <f t="shared" si="19"/>
        <v>Evening</v>
      </c>
      <c r="M430" t="str">
        <f t="shared" si="20"/>
        <v>Clear</v>
      </c>
      <c r="N430">
        <f>IFERROR(VLOOKUP(A430,Dataset2!A:Z,8,FALSE),"")</f>
        <v>59</v>
      </c>
    </row>
    <row r="431" spans="1:14" x14ac:dyDescent="0.25">
      <c r="A431" s="1">
        <v>430</v>
      </c>
      <c r="B431" s="2">
        <v>40562</v>
      </c>
      <c r="C431" s="1">
        <v>1</v>
      </c>
      <c r="D431" s="1">
        <v>0</v>
      </c>
      <c r="E431" s="1">
        <v>1</v>
      </c>
      <c r="F431" s="1">
        <v>22</v>
      </c>
      <c r="G431" s="1" t="b">
        <v>0</v>
      </c>
      <c r="H431" s="1">
        <v>3</v>
      </c>
      <c r="I431" s="1">
        <v>1</v>
      </c>
      <c r="J431" s="1">
        <v>0.3</v>
      </c>
      <c r="K431" t="str">
        <f t="shared" si="18"/>
        <v>Weekday</v>
      </c>
      <c r="L431" t="str">
        <f t="shared" si="19"/>
        <v>Evening</v>
      </c>
      <c r="M431" t="str">
        <f t="shared" si="20"/>
        <v>Clear</v>
      </c>
      <c r="N431">
        <f>IFERROR(VLOOKUP(A431,Dataset2!A:Z,8,FALSE),"")</f>
        <v>28</v>
      </c>
    </row>
    <row r="432" spans="1:14" x14ac:dyDescent="0.25">
      <c r="A432" s="1">
        <v>431</v>
      </c>
      <c r="B432" s="2">
        <v>40562</v>
      </c>
      <c r="C432" s="1">
        <v>1</v>
      </c>
      <c r="D432" s="1">
        <v>0</v>
      </c>
      <c r="E432" s="1">
        <v>1</v>
      </c>
      <c r="F432" s="1">
        <v>23</v>
      </c>
      <c r="G432" s="1" t="b">
        <v>0</v>
      </c>
      <c r="H432" s="1">
        <v>3</v>
      </c>
      <c r="I432" s="1">
        <v>1</v>
      </c>
      <c r="J432" s="1">
        <v>0.3</v>
      </c>
      <c r="K432" t="str">
        <f t="shared" si="18"/>
        <v>Weekday</v>
      </c>
      <c r="L432" t="str">
        <f t="shared" si="19"/>
        <v>Evening</v>
      </c>
      <c r="M432" t="str">
        <f t="shared" si="20"/>
        <v>Clear</v>
      </c>
      <c r="N432">
        <f>IFERROR(VLOOKUP(A432,Dataset2!A:Z,8,FALSE),"")</f>
        <v>13</v>
      </c>
    </row>
    <row r="433" spans="1:14" x14ac:dyDescent="0.25">
      <c r="A433" s="1">
        <v>432</v>
      </c>
      <c r="B433" s="2">
        <v>40563</v>
      </c>
      <c r="C433" s="1">
        <v>1</v>
      </c>
      <c r="D433" s="1">
        <v>0</v>
      </c>
      <c r="E433" s="1">
        <v>1</v>
      </c>
      <c r="F433" s="1">
        <v>0</v>
      </c>
      <c r="G433" s="1" t="b">
        <v>0</v>
      </c>
      <c r="H433" s="1">
        <v>4</v>
      </c>
      <c r="I433" s="1">
        <v>1</v>
      </c>
      <c r="J433" s="1">
        <v>0.26</v>
      </c>
      <c r="K433" t="str">
        <f t="shared" si="18"/>
        <v>Weekday</v>
      </c>
      <c r="L433" t="str">
        <f t="shared" si="19"/>
        <v>Morning</v>
      </c>
      <c r="M433" t="str">
        <f t="shared" si="20"/>
        <v>Clear</v>
      </c>
      <c r="N433">
        <f>IFERROR(VLOOKUP(A433,Dataset2!A:Z,8,FALSE),"")</f>
        <v>5</v>
      </c>
    </row>
    <row r="434" spans="1:14" x14ac:dyDescent="0.25">
      <c r="A434" s="1">
        <v>433</v>
      </c>
      <c r="B434" s="2">
        <v>40563</v>
      </c>
      <c r="C434" s="1">
        <v>1</v>
      </c>
      <c r="D434" s="1">
        <v>0</v>
      </c>
      <c r="E434" s="1">
        <v>1</v>
      </c>
      <c r="F434" s="1">
        <v>1</v>
      </c>
      <c r="G434" s="1" t="b">
        <v>0</v>
      </c>
      <c r="H434" s="1">
        <v>4</v>
      </c>
      <c r="I434" s="1">
        <v>1</v>
      </c>
      <c r="J434" s="1">
        <v>0.26</v>
      </c>
      <c r="K434" t="str">
        <f t="shared" si="18"/>
        <v>Weekday</v>
      </c>
      <c r="L434" t="str">
        <f t="shared" si="19"/>
        <v>Morning</v>
      </c>
      <c r="M434" t="str">
        <f t="shared" si="20"/>
        <v>Clear</v>
      </c>
      <c r="N434">
        <f>IFERROR(VLOOKUP(A434,Dataset2!A:Z,8,FALSE),"")</f>
        <v>2</v>
      </c>
    </row>
    <row r="435" spans="1:14" x14ac:dyDescent="0.25">
      <c r="A435" s="1">
        <v>434</v>
      </c>
      <c r="B435" s="2">
        <v>40563</v>
      </c>
      <c r="C435" s="1">
        <v>1</v>
      </c>
      <c r="D435" s="1">
        <v>0</v>
      </c>
      <c r="E435" s="1">
        <v>1</v>
      </c>
      <c r="F435" s="1">
        <v>2</v>
      </c>
      <c r="G435" s="1" t="b">
        <v>0</v>
      </c>
      <c r="H435" s="1">
        <v>4</v>
      </c>
      <c r="I435" s="1">
        <v>1</v>
      </c>
      <c r="J435" s="1">
        <v>0.26</v>
      </c>
      <c r="K435" t="str">
        <f t="shared" si="18"/>
        <v>Weekday</v>
      </c>
      <c r="L435" t="str">
        <f t="shared" si="19"/>
        <v>Morning</v>
      </c>
      <c r="M435" t="str">
        <f t="shared" si="20"/>
        <v>Clear</v>
      </c>
      <c r="N435">
        <f>IFERROR(VLOOKUP(A435,Dataset2!A:Z,8,FALSE),"")</f>
        <v>1</v>
      </c>
    </row>
    <row r="436" spans="1:14" x14ac:dyDescent="0.25">
      <c r="A436" s="1">
        <v>435</v>
      </c>
      <c r="B436" s="2">
        <v>40563</v>
      </c>
      <c r="C436" s="1">
        <v>1</v>
      </c>
      <c r="D436" s="1">
        <v>0</v>
      </c>
      <c r="E436" s="1">
        <v>1</v>
      </c>
      <c r="F436" s="1">
        <v>3</v>
      </c>
      <c r="G436" s="1" t="b">
        <v>0</v>
      </c>
      <c r="H436" s="1">
        <v>4</v>
      </c>
      <c r="I436" s="1">
        <v>1</v>
      </c>
      <c r="J436" s="1">
        <v>0.26</v>
      </c>
      <c r="K436" t="str">
        <f t="shared" si="18"/>
        <v>Weekday</v>
      </c>
      <c r="L436" t="str">
        <f t="shared" si="19"/>
        <v>Morning</v>
      </c>
      <c r="M436" t="str">
        <f t="shared" si="20"/>
        <v>Clear</v>
      </c>
      <c r="N436">
        <f>IFERROR(VLOOKUP(A436,Dataset2!A:Z,8,FALSE),"")</f>
        <v>1</v>
      </c>
    </row>
    <row r="437" spans="1:14" x14ac:dyDescent="0.25">
      <c r="A437" s="1">
        <v>436</v>
      </c>
      <c r="B437" s="2">
        <v>40563</v>
      </c>
      <c r="C437" s="1">
        <v>1</v>
      </c>
      <c r="D437" s="1">
        <v>0</v>
      </c>
      <c r="E437" s="1">
        <v>1</v>
      </c>
      <c r="F437" s="1">
        <v>4</v>
      </c>
      <c r="G437" s="1" t="b">
        <v>0</v>
      </c>
      <c r="H437" s="1">
        <v>4</v>
      </c>
      <c r="I437" s="1">
        <v>1</v>
      </c>
      <c r="J437" s="1">
        <v>0.26</v>
      </c>
      <c r="K437" t="str">
        <f t="shared" si="18"/>
        <v>Weekday</v>
      </c>
      <c r="L437" t="str">
        <f t="shared" si="19"/>
        <v>Morning</v>
      </c>
      <c r="M437" t="str">
        <f t="shared" si="20"/>
        <v>Clear</v>
      </c>
      <c r="N437">
        <f>IFERROR(VLOOKUP(A437,Dataset2!A:Z,8,FALSE),"")</f>
        <v>6</v>
      </c>
    </row>
    <row r="438" spans="1:14" x14ac:dyDescent="0.25">
      <c r="A438" s="1">
        <v>437</v>
      </c>
      <c r="B438" s="2">
        <v>40563</v>
      </c>
      <c r="C438" s="1">
        <v>1</v>
      </c>
      <c r="D438" s="1">
        <v>0</v>
      </c>
      <c r="E438" s="1">
        <v>1</v>
      </c>
      <c r="F438" s="1">
        <v>5</v>
      </c>
      <c r="G438" s="1" t="b">
        <v>0</v>
      </c>
      <c r="H438" s="1">
        <v>4</v>
      </c>
      <c r="I438" s="1">
        <v>1</v>
      </c>
      <c r="J438" s="1">
        <v>0.24</v>
      </c>
      <c r="K438" t="str">
        <f t="shared" si="18"/>
        <v>Weekday</v>
      </c>
      <c r="L438" t="str">
        <f t="shared" si="19"/>
        <v>Morning</v>
      </c>
      <c r="M438" t="str">
        <f t="shared" si="20"/>
        <v>Clear</v>
      </c>
      <c r="N438">
        <f>IFERROR(VLOOKUP(A438,Dataset2!A:Z,8,FALSE),"")</f>
        <v>35</v>
      </c>
    </row>
    <row r="439" spans="1:14" x14ac:dyDescent="0.25">
      <c r="A439" s="1">
        <v>438</v>
      </c>
      <c r="B439" s="2">
        <v>40563</v>
      </c>
      <c r="C439" s="1">
        <v>1</v>
      </c>
      <c r="D439" s="1">
        <v>0</v>
      </c>
      <c r="E439" s="1">
        <v>1</v>
      </c>
      <c r="F439" s="1">
        <v>6</v>
      </c>
      <c r="G439" s="1" t="b">
        <v>0</v>
      </c>
      <c r="H439" s="1">
        <v>4</v>
      </c>
      <c r="I439" s="1">
        <v>1</v>
      </c>
      <c r="J439" s="1">
        <v>0.22</v>
      </c>
      <c r="K439" t="str">
        <f t="shared" si="18"/>
        <v>Weekday</v>
      </c>
      <c r="L439" t="str">
        <f t="shared" si="19"/>
        <v>Morning</v>
      </c>
      <c r="M439" t="str">
        <f t="shared" si="20"/>
        <v>Clear</v>
      </c>
      <c r="N439">
        <f>IFERROR(VLOOKUP(A439,Dataset2!A:Z,8,FALSE),"")</f>
        <v>101</v>
      </c>
    </row>
    <row r="440" spans="1:14" x14ac:dyDescent="0.25">
      <c r="A440" s="1">
        <v>439</v>
      </c>
      <c r="B440" s="2">
        <v>40563</v>
      </c>
      <c r="C440" s="1">
        <v>1</v>
      </c>
      <c r="D440" s="1">
        <v>0</v>
      </c>
      <c r="E440" s="1">
        <v>1</v>
      </c>
      <c r="F440" s="1">
        <v>7</v>
      </c>
      <c r="G440" s="1" t="b">
        <v>0</v>
      </c>
      <c r="H440" s="1">
        <v>4</v>
      </c>
      <c r="I440" s="1">
        <v>1</v>
      </c>
      <c r="J440" s="1">
        <v>0.22</v>
      </c>
      <c r="K440" t="str">
        <f t="shared" si="18"/>
        <v>Weekday</v>
      </c>
      <c r="L440" t="str">
        <f t="shared" si="19"/>
        <v>Morning</v>
      </c>
      <c r="M440" t="str">
        <f t="shared" si="20"/>
        <v>Clear</v>
      </c>
      <c r="N440">
        <f>IFERROR(VLOOKUP(A440,Dataset2!A:Z,8,FALSE),"")</f>
        <v>249</v>
      </c>
    </row>
    <row r="441" spans="1:14" x14ac:dyDescent="0.25">
      <c r="A441" s="1">
        <v>440</v>
      </c>
      <c r="B441" s="2">
        <v>40563</v>
      </c>
      <c r="C441" s="1">
        <v>1</v>
      </c>
      <c r="D441" s="1">
        <v>0</v>
      </c>
      <c r="E441" s="1">
        <v>1</v>
      </c>
      <c r="F441" s="1">
        <v>8</v>
      </c>
      <c r="G441" s="1" t="b">
        <v>0</v>
      </c>
      <c r="H441" s="1">
        <v>4</v>
      </c>
      <c r="I441" s="1">
        <v>1</v>
      </c>
      <c r="J441" s="1">
        <v>0.22</v>
      </c>
      <c r="K441" t="str">
        <f t="shared" si="18"/>
        <v>Weekday</v>
      </c>
      <c r="L441" t="str">
        <f t="shared" si="19"/>
        <v>Morning</v>
      </c>
      <c r="M441" t="str">
        <f t="shared" si="20"/>
        <v>Clear</v>
      </c>
      <c r="N441">
        <f>IFERROR(VLOOKUP(A441,Dataset2!A:Z,8,FALSE),"")</f>
        <v>143</v>
      </c>
    </row>
    <row r="442" spans="1:14" x14ac:dyDescent="0.25">
      <c r="A442" s="1">
        <v>441</v>
      </c>
      <c r="B442" s="2">
        <v>40563</v>
      </c>
      <c r="C442" s="1">
        <v>1</v>
      </c>
      <c r="D442" s="1">
        <v>0</v>
      </c>
      <c r="E442" s="1">
        <v>1</v>
      </c>
      <c r="F442" s="1">
        <v>9</v>
      </c>
      <c r="G442" s="1" t="b">
        <v>0</v>
      </c>
      <c r="H442" s="1">
        <v>4</v>
      </c>
      <c r="I442" s="1">
        <v>2</v>
      </c>
      <c r="J442" s="1">
        <v>0.24</v>
      </c>
      <c r="K442" t="str">
        <f t="shared" si="18"/>
        <v>Weekday</v>
      </c>
      <c r="L442" t="str">
        <f t="shared" si="19"/>
        <v>Morning</v>
      </c>
      <c r="M442" t="str">
        <f t="shared" si="20"/>
        <v>cloudy</v>
      </c>
      <c r="N442">
        <f>IFERROR(VLOOKUP(A442,Dataset2!A:Z,8,FALSE),"")</f>
        <v>57</v>
      </c>
    </row>
    <row r="443" spans="1:14" x14ac:dyDescent="0.25">
      <c r="A443" s="1">
        <v>442</v>
      </c>
      <c r="B443" s="2">
        <v>40563</v>
      </c>
      <c r="C443" s="1">
        <v>1</v>
      </c>
      <c r="D443" s="1">
        <v>0</v>
      </c>
      <c r="E443" s="1">
        <v>1</v>
      </c>
      <c r="F443" s="1">
        <v>10</v>
      </c>
      <c r="G443" s="1" t="b">
        <v>0</v>
      </c>
      <c r="H443" s="1">
        <v>4</v>
      </c>
      <c r="I443" s="1">
        <v>1</v>
      </c>
      <c r="J443" s="1">
        <v>0.26</v>
      </c>
      <c r="K443" t="str">
        <f t="shared" si="18"/>
        <v>Weekday</v>
      </c>
      <c r="L443" t="str">
        <f t="shared" si="19"/>
        <v>Morning</v>
      </c>
      <c r="M443" t="str">
        <f t="shared" si="20"/>
        <v>Clear</v>
      </c>
      <c r="N443">
        <f>IFERROR(VLOOKUP(A443,Dataset2!A:Z,8,FALSE),"")</f>
        <v>68</v>
      </c>
    </row>
    <row r="444" spans="1:14" x14ac:dyDescent="0.25">
      <c r="A444" s="1">
        <v>443</v>
      </c>
      <c r="B444" s="2">
        <v>40563</v>
      </c>
      <c r="C444" s="1">
        <v>1</v>
      </c>
      <c r="D444" s="1">
        <v>0</v>
      </c>
      <c r="E444" s="1">
        <v>1</v>
      </c>
      <c r="F444" s="1">
        <v>11</v>
      </c>
      <c r="G444" s="1" t="b">
        <v>0</v>
      </c>
      <c r="H444" s="1">
        <v>4</v>
      </c>
      <c r="I444" s="1">
        <v>2</v>
      </c>
      <c r="J444" s="1">
        <v>0.28000000000000003</v>
      </c>
      <c r="K444" t="str">
        <f t="shared" si="18"/>
        <v>Weekday</v>
      </c>
      <c r="L444" t="str">
        <f t="shared" si="19"/>
        <v>Morning</v>
      </c>
      <c r="M444" t="str">
        <f t="shared" si="20"/>
        <v>cloudy</v>
      </c>
      <c r="N444">
        <f>IFERROR(VLOOKUP(A444,Dataset2!A:Z,8,FALSE),"")</f>
        <v>84</v>
      </c>
    </row>
    <row r="445" spans="1:14" x14ac:dyDescent="0.25">
      <c r="A445" s="1">
        <v>444</v>
      </c>
      <c r="B445" s="2">
        <v>40563</v>
      </c>
      <c r="C445" s="1">
        <v>1</v>
      </c>
      <c r="D445" s="1">
        <v>0</v>
      </c>
      <c r="E445" s="1">
        <v>1</v>
      </c>
      <c r="F445" s="1">
        <v>12</v>
      </c>
      <c r="G445" s="1" t="b">
        <v>0</v>
      </c>
      <c r="H445" s="1">
        <v>4</v>
      </c>
      <c r="I445" s="1">
        <v>2</v>
      </c>
      <c r="J445" s="1">
        <v>0.3</v>
      </c>
      <c r="K445" t="str">
        <f t="shared" si="18"/>
        <v>Weekday</v>
      </c>
      <c r="L445" t="str">
        <f t="shared" si="19"/>
        <v>Afternoon</v>
      </c>
      <c r="M445" t="str">
        <f t="shared" si="20"/>
        <v>cloudy</v>
      </c>
      <c r="N445">
        <f>IFERROR(VLOOKUP(A445,Dataset2!A:Z,8,FALSE),"")</f>
        <v>98</v>
      </c>
    </row>
    <row r="446" spans="1:14" x14ac:dyDescent="0.25">
      <c r="A446" s="1">
        <v>445</v>
      </c>
      <c r="B446" s="2">
        <v>40563</v>
      </c>
      <c r="C446" s="1">
        <v>1</v>
      </c>
      <c r="D446" s="1">
        <v>0</v>
      </c>
      <c r="E446" s="1">
        <v>1</v>
      </c>
      <c r="F446" s="1">
        <v>13</v>
      </c>
      <c r="G446" s="1" t="b">
        <v>0</v>
      </c>
      <c r="H446" s="1">
        <v>4</v>
      </c>
      <c r="I446" s="1">
        <v>2</v>
      </c>
      <c r="J446" s="1">
        <v>0.28000000000000003</v>
      </c>
      <c r="K446" t="str">
        <f t="shared" si="18"/>
        <v>Weekday</v>
      </c>
      <c r="L446" t="str">
        <f t="shared" si="19"/>
        <v>Afternoon</v>
      </c>
      <c r="M446" t="str">
        <f t="shared" si="20"/>
        <v>cloudy</v>
      </c>
      <c r="N446">
        <f>IFERROR(VLOOKUP(A446,Dataset2!A:Z,8,FALSE),"")</f>
        <v>81</v>
      </c>
    </row>
    <row r="447" spans="1:14" x14ac:dyDescent="0.25">
      <c r="A447" s="1">
        <v>446</v>
      </c>
      <c r="B447" s="2">
        <v>40563</v>
      </c>
      <c r="C447" s="1">
        <v>1</v>
      </c>
      <c r="D447" s="1">
        <v>0</v>
      </c>
      <c r="E447" s="1">
        <v>1</v>
      </c>
      <c r="F447" s="1">
        <v>14</v>
      </c>
      <c r="G447" s="1" t="b">
        <v>0</v>
      </c>
      <c r="H447" s="1">
        <v>4</v>
      </c>
      <c r="I447" s="1">
        <v>2</v>
      </c>
      <c r="J447" s="1">
        <v>0.3</v>
      </c>
      <c r="K447" t="str">
        <f t="shared" si="18"/>
        <v>Weekday</v>
      </c>
      <c r="L447" t="str">
        <f t="shared" si="19"/>
        <v>Afternoon</v>
      </c>
      <c r="M447" t="str">
        <f t="shared" si="20"/>
        <v>cloudy</v>
      </c>
      <c r="N447">
        <f>IFERROR(VLOOKUP(A447,Dataset2!A:Z,8,FALSE),"")</f>
        <v>70</v>
      </c>
    </row>
    <row r="448" spans="1:14" x14ac:dyDescent="0.25">
      <c r="A448" s="1">
        <v>447</v>
      </c>
      <c r="B448" s="2">
        <v>40563</v>
      </c>
      <c r="C448" s="1">
        <v>1</v>
      </c>
      <c r="D448" s="1">
        <v>0</v>
      </c>
      <c r="E448" s="1">
        <v>1</v>
      </c>
      <c r="F448" s="1">
        <v>15</v>
      </c>
      <c r="G448" s="1" t="b">
        <v>0</v>
      </c>
      <c r="H448" s="1">
        <v>4</v>
      </c>
      <c r="I448" s="1">
        <v>2</v>
      </c>
      <c r="J448" s="1">
        <v>0.32</v>
      </c>
      <c r="K448" t="str">
        <f t="shared" si="18"/>
        <v>Weekday</v>
      </c>
      <c r="L448" t="str">
        <f t="shared" si="19"/>
        <v>Afternoon</v>
      </c>
      <c r="M448" t="str">
        <f t="shared" si="20"/>
        <v>cloudy</v>
      </c>
      <c r="N448">
        <f>IFERROR(VLOOKUP(A448,Dataset2!A:Z,8,FALSE),"")</f>
        <v>91</v>
      </c>
    </row>
    <row r="449" spans="1:14" x14ac:dyDescent="0.25">
      <c r="A449" s="1">
        <v>448</v>
      </c>
      <c r="B449" s="2">
        <v>40563</v>
      </c>
      <c r="C449" s="1">
        <v>1</v>
      </c>
      <c r="D449" s="1">
        <v>0</v>
      </c>
      <c r="E449" s="1">
        <v>1</v>
      </c>
      <c r="F449" s="1">
        <v>16</v>
      </c>
      <c r="G449" s="1" t="b">
        <v>0</v>
      </c>
      <c r="H449" s="1">
        <v>4</v>
      </c>
      <c r="I449" s="1">
        <v>2</v>
      </c>
      <c r="J449" s="1">
        <v>0.3</v>
      </c>
      <c r="K449" t="str">
        <f t="shared" si="18"/>
        <v>Weekday</v>
      </c>
      <c r="L449" t="str">
        <f t="shared" si="19"/>
        <v>Afternoon</v>
      </c>
      <c r="M449" t="str">
        <f t="shared" si="20"/>
        <v>cloudy</v>
      </c>
      <c r="N449">
        <f>IFERROR(VLOOKUP(A449,Dataset2!A:Z,8,FALSE),"")</f>
        <v>215</v>
      </c>
    </row>
    <row r="450" spans="1:14" x14ac:dyDescent="0.25">
      <c r="A450" s="1">
        <v>449</v>
      </c>
      <c r="B450" s="2">
        <v>40563</v>
      </c>
      <c r="C450" s="1">
        <v>1</v>
      </c>
      <c r="D450" s="1">
        <v>0</v>
      </c>
      <c r="E450" s="1">
        <v>1</v>
      </c>
      <c r="F450" s="1">
        <v>17</v>
      </c>
      <c r="G450" s="1" t="b">
        <v>0</v>
      </c>
      <c r="H450" s="1">
        <v>4</v>
      </c>
      <c r="I450" s="1">
        <v>2</v>
      </c>
      <c r="J450" s="1">
        <v>0.3</v>
      </c>
      <c r="K450" t="str">
        <f t="shared" si="18"/>
        <v>Weekday</v>
      </c>
      <c r="L450" t="str">
        <f t="shared" si="19"/>
        <v>Afternoon</v>
      </c>
      <c r="M450" t="str">
        <f t="shared" si="20"/>
        <v>cloudy</v>
      </c>
      <c r="N450">
        <f>IFERROR(VLOOKUP(A450,Dataset2!A:Z,8,FALSE),"")</f>
        <v>185</v>
      </c>
    </row>
    <row r="451" spans="1:14" x14ac:dyDescent="0.25">
      <c r="A451" s="1">
        <v>450</v>
      </c>
      <c r="B451" s="2">
        <v>40563</v>
      </c>
      <c r="C451" s="1">
        <v>1</v>
      </c>
      <c r="D451" s="1">
        <v>0</v>
      </c>
      <c r="E451" s="1">
        <v>1</v>
      </c>
      <c r="F451" s="1">
        <v>18</v>
      </c>
      <c r="G451" s="1" t="b">
        <v>0</v>
      </c>
      <c r="H451" s="1">
        <v>4</v>
      </c>
      <c r="I451" s="1">
        <v>2</v>
      </c>
      <c r="J451" s="1">
        <v>0.26</v>
      </c>
      <c r="K451" t="str">
        <f t="shared" ref="K451:K514" si="21">IF(OR(H451=0,H451=6),"Weekend","Weekday")</f>
        <v>Weekday</v>
      </c>
      <c r="L451" t="str">
        <f t="shared" ref="L451:L514" si="22">IF(F451&lt;12,"Morning",IF(F451&lt;18,"Afternoon","Evening"))</f>
        <v>Evening</v>
      </c>
      <c r="M451" t="str">
        <f t="shared" ref="M451:M514" si="23">IF(I451=1,"Clear",IF(I451=2,"cloudy",IF(I451=3,"Rain","Heavy Rain")))</f>
        <v>cloudy</v>
      </c>
      <c r="N451">
        <f>IFERROR(VLOOKUP(A451,Dataset2!A:Z,8,FALSE),"")</f>
        <v>152</v>
      </c>
    </row>
    <row r="452" spans="1:14" x14ac:dyDescent="0.25">
      <c r="A452" s="1">
        <v>451</v>
      </c>
      <c r="B452" s="2">
        <v>40563</v>
      </c>
      <c r="C452" s="1">
        <v>1</v>
      </c>
      <c r="D452" s="1">
        <v>0</v>
      </c>
      <c r="E452" s="1">
        <v>1</v>
      </c>
      <c r="F452" s="1">
        <v>19</v>
      </c>
      <c r="G452" s="1" t="b">
        <v>0</v>
      </c>
      <c r="H452" s="1">
        <v>4</v>
      </c>
      <c r="I452" s="1">
        <v>1</v>
      </c>
      <c r="J452" s="1">
        <v>0.26</v>
      </c>
      <c r="K452" t="str">
        <f t="shared" si="21"/>
        <v>Weekday</v>
      </c>
      <c r="L452" t="str">
        <f t="shared" si="22"/>
        <v>Evening</v>
      </c>
      <c r="M452" t="str">
        <f t="shared" si="23"/>
        <v>Clear</v>
      </c>
      <c r="N452">
        <f>IFERROR(VLOOKUP(A452,Dataset2!A:Z,8,FALSE),"")</f>
        <v>126</v>
      </c>
    </row>
    <row r="453" spans="1:14" x14ac:dyDescent="0.25">
      <c r="A453" s="1">
        <v>452</v>
      </c>
      <c r="B453" s="2">
        <v>40563</v>
      </c>
      <c r="C453" s="1">
        <v>1</v>
      </c>
      <c r="D453" s="1">
        <v>0</v>
      </c>
      <c r="E453" s="1">
        <v>1</v>
      </c>
      <c r="F453" s="1">
        <v>20</v>
      </c>
      <c r="G453" s="1" t="b">
        <v>0</v>
      </c>
      <c r="H453" s="1">
        <v>4</v>
      </c>
      <c r="I453" s="1">
        <v>2</v>
      </c>
      <c r="J453" s="1">
        <v>0.26</v>
      </c>
      <c r="K453" t="str">
        <f t="shared" si="21"/>
        <v>Weekday</v>
      </c>
      <c r="L453" t="str">
        <f t="shared" si="22"/>
        <v>Evening</v>
      </c>
      <c r="M453" t="str">
        <f t="shared" si="23"/>
        <v>cloudy</v>
      </c>
      <c r="N453">
        <f>IFERROR(VLOOKUP(A453,Dataset2!A:Z,8,FALSE),"")</f>
        <v>57</v>
      </c>
    </row>
    <row r="454" spans="1:14" x14ac:dyDescent="0.25">
      <c r="A454" s="1">
        <v>453</v>
      </c>
      <c r="B454" s="2">
        <v>40563</v>
      </c>
      <c r="C454" s="1">
        <v>1</v>
      </c>
      <c r="D454" s="1">
        <v>0</v>
      </c>
      <c r="E454" s="1">
        <v>1</v>
      </c>
      <c r="F454" s="1">
        <v>21</v>
      </c>
      <c r="G454" s="1" t="b">
        <v>0</v>
      </c>
      <c r="H454" s="1">
        <v>4</v>
      </c>
      <c r="I454" s="1">
        <v>2</v>
      </c>
      <c r="J454" s="1">
        <v>0.24</v>
      </c>
      <c r="K454" t="str">
        <f t="shared" si="21"/>
        <v>Weekday</v>
      </c>
      <c r="L454" t="str">
        <f t="shared" si="22"/>
        <v>Evening</v>
      </c>
      <c r="M454" t="str">
        <f t="shared" si="23"/>
        <v>cloudy</v>
      </c>
      <c r="N454">
        <f>IFERROR(VLOOKUP(A454,Dataset2!A:Z,8,FALSE),"")</f>
        <v>56</v>
      </c>
    </row>
    <row r="455" spans="1:14" x14ac:dyDescent="0.25">
      <c r="A455" s="1">
        <v>454</v>
      </c>
      <c r="B455" s="2">
        <v>40563</v>
      </c>
      <c r="C455" s="1">
        <v>1</v>
      </c>
      <c r="D455" s="1">
        <v>0</v>
      </c>
      <c r="E455" s="1">
        <v>1</v>
      </c>
      <c r="F455" s="1">
        <v>22</v>
      </c>
      <c r="G455" s="1" t="b">
        <v>0</v>
      </c>
      <c r="H455" s="1">
        <v>4</v>
      </c>
      <c r="I455" s="1">
        <v>2</v>
      </c>
      <c r="J455" s="1">
        <v>0.24</v>
      </c>
      <c r="K455" t="str">
        <f t="shared" si="21"/>
        <v>Weekday</v>
      </c>
      <c r="L455" t="str">
        <f t="shared" si="22"/>
        <v>Evening</v>
      </c>
      <c r="M455" t="str">
        <f t="shared" si="23"/>
        <v>cloudy</v>
      </c>
      <c r="N455">
        <f>IFERROR(VLOOKUP(A455,Dataset2!A:Z,8,FALSE),"")</f>
        <v>31</v>
      </c>
    </row>
    <row r="456" spans="1:14" x14ac:dyDescent="0.25">
      <c r="A456" s="1">
        <v>455</v>
      </c>
      <c r="B456" s="2">
        <v>40563</v>
      </c>
      <c r="C456" s="1">
        <v>1</v>
      </c>
      <c r="D456" s="1">
        <v>0</v>
      </c>
      <c r="E456" s="1">
        <v>1</v>
      </c>
      <c r="F456" s="1">
        <v>23</v>
      </c>
      <c r="G456" s="1" t="b">
        <v>0</v>
      </c>
      <c r="H456" s="1">
        <v>4</v>
      </c>
      <c r="I456" s="1">
        <v>2</v>
      </c>
      <c r="J456" s="1">
        <v>0.24</v>
      </c>
      <c r="K456" t="str">
        <f t="shared" si="21"/>
        <v>Weekday</v>
      </c>
      <c r="L456" t="str">
        <f t="shared" si="22"/>
        <v>Evening</v>
      </c>
      <c r="M456" t="str">
        <f t="shared" si="23"/>
        <v>cloudy</v>
      </c>
      <c r="N456">
        <f>IFERROR(VLOOKUP(A456,Dataset2!A:Z,8,FALSE),"")</f>
        <v>21</v>
      </c>
    </row>
    <row r="457" spans="1:14" x14ac:dyDescent="0.25">
      <c r="A457" s="1">
        <v>456</v>
      </c>
      <c r="B457" s="2">
        <v>40564</v>
      </c>
      <c r="C457" s="1">
        <v>1</v>
      </c>
      <c r="D457" s="1">
        <v>0</v>
      </c>
      <c r="E457" s="1">
        <v>1</v>
      </c>
      <c r="F457" s="1">
        <v>0</v>
      </c>
      <c r="G457" s="1" t="b">
        <v>0</v>
      </c>
      <c r="H457" s="1">
        <v>5</v>
      </c>
      <c r="I457" s="1">
        <v>2</v>
      </c>
      <c r="J457" s="1">
        <v>0.24</v>
      </c>
      <c r="K457" t="str">
        <f t="shared" si="21"/>
        <v>Weekday</v>
      </c>
      <c r="L457" t="str">
        <f t="shared" si="22"/>
        <v>Morning</v>
      </c>
      <c r="M457" t="str">
        <f t="shared" si="23"/>
        <v>cloudy</v>
      </c>
      <c r="N457">
        <f>IFERROR(VLOOKUP(A457,Dataset2!A:Z,8,FALSE),"")</f>
        <v>6</v>
      </c>
    </row>
    <row r="458" spans="1:14" x14ac:dyDescent="0.25">
      <c r="A458" s="1">
        <v>457</v>
      </c>
      <c r="B458" s="2">
        <v>40564</v>
      </c>
      <c r="C458" s="1">
        <v>1</v>
      </c>
      <c r="D458" s="1">
        <v>0</v>
      </c>
      <c r="E458" s="1">
        <v>1</v>
      </c>
      <c r="F458" s="1">
        <v>1</v>
      </c>
      <c r="G458" s="1" t="b">
        <v>0</v>
      </c>
      <c r="H458" s="1">
        <v>5</v>
      </c>
      <c r="I458" s="1">
        <v>2</v>
      </c>
      <c r="J458" s="1">
        <v>0.24</v>
      </c>
      <c r="K458" t="str">
        <f t="shared" si="21"/>
        <v>Weekday</v>
      </c>
      <c r="L458" t="str">
        <f t="shared" si="22"/>
        <v>Morning</v>
      </c>
      <c r="M458" t="str">
        <f t="shared" si="23"/>
        <v>cloudy</v>
      </c>
      <c r="N458">
        <f>IFERROR(VLOOKUP(A458,Dataset2!A:Z,8,FALSE),"")</f>
        <v>2</v>
      </c>
    </row>
    <row r="459" spans="1:14" x14ac:dyDescent="0.25">
      <c r="A459" s="1">
        <v>458</v>
      </c>
      <c r="B459" s="2">
        <v>40564</v>
      </c>
      <c r="C459" s="1">
        <v>1</v>
      </c>
      <c r="D459" s="1">
        <v>0</v>
      </c>
      <c r="E459" s="1">
        <v>1</v>
      </c>
      <c r="F459" s="1">
        <v>2</v>
      </c>
      <c r="G459" s="1" t="b">
        <v>0</v>
      </c>
      <c r="H459" s="1">
        <v>5</v>
      </c>
      <c r="I459" s="1">
        <v>3</v>
      </c>
      <c r="J459" s="1">
        <v>0.24</v>
      </c>
      <c r="K459" t="str">
        <f t="shared" si="21"/>
        <v>Weekday</v>
      </c>
      <c r="L459" t="str">
        <f t="shared" si="22"/>
        <v>Morning</v>
      </c>
      <c r="M459" t="str">
        <f t="shared" si="23"/>
        <v>Rain</v>
      </c>
      <c r="N459">
        <f>IFERROR(VLOOKUP(A459,Dataset2!A:Z,8,FALSE),"")</f>
        <v>1</v>
      </c>
    </row>
    <row r="460" spans="1:14" x14ac:dyDescent="0.25">
      <c r="A460" s="1">
        <v>459</v>
      </c>
      <c r="B460" s="2">
        <v>40564</v>
      </c>
      <c r="C460" s="1">
        <v>1</v>
      </c>
      <c r="D460" s="1">
        <v>0</v>
      </c>
      <c r="E460" s="1">
        <v>1</v>
      </c>
      <c r="F460" s="1">
        <v>3</v>
      </c>
      <c r="G460" s="1" t="b">
        <v>0</v>
      </c>
      <c r="H460" s="1">
        <v>5</v>
      </c>
      <c r="I460" s="1">
        <v>3</v>
      </c>
      <c r="J460" s="1">
        <v>0.22</v>
      </c>
      <c r="K460" t="str">
        <f t="shared" si="21"/>
        <v>Weekday</v>
      </c>
      <c r="L460" t="str">
        <f t="shared" si="22"/>
        <v>Morning</v>
      </c>
      <c r="M460" t="str">
        <f t="shared" si="23"/>
        <v>Rain</v>
      </c>
      <c r="N460">
        <f>IFERROR(VLOOKUP(A460,Dataset2!A:Z,8,FALSE),"")</f>
        <v>1</v>
      </c>
    </row>
    <row r="461" spans="1:14" x14ac:dyDescent="0.25">
      <c r="A461" s="1">
        <v>460</v>
      </c>
      <c r="B461" s="2">
        <v>40564</v>
      </c>
      <c r="C461" s="1">
        <v>1</v>
      </c>
      <c r="D461" s="1">
        <v>0</v>
      </c>
      <c r="E461" s="1">
        <v>1</v>
      </c>
      <c r="F461" s="1">
        <v>4</v>
      </c>
      <c r="G461" s="1" t="b">
        <v>0</v>
      </c>
      <c r="H461" s="1">
        <v>5</v>
      </c>
      <c r="I461" s="1">
        <v>2</v>
      </c>
      <c r="J461" s="1">
        <v>0.22</v>
      </c>
      <c r="K461" t="str">
        <f t="shared" si="21"/>
        <v>Weekday</v>
      </c>
      <c r="L461" t="str">
        <f t="shared" si="22"/>
        <v>Morning</v>
      </c>
      <c r="M461" t="str">
        <f t="shared" si="23"/>
        <v>cloudy</v>
      </c>
      <c r="N461">
        <f>IFERROR(VLOOKUP(A461,Dataset2!A:Z,8,FALSE),"")</f>
        <v>5</v>
      </c>
    </row>
    <row r="462" spans="1:14" x14ac:dyDescent="0.25">
      <c r="A462" s="1">
        <v>461</v>
      </c>
      <c r="B462" s="2">
        <v>40564</v>
      </c>
      <c r="C462" s="1">
        <v>1</v>
      </c>
      <c r="D462" s="1">
        <v>0</v>
      </c>
      <c r="E462" s="1">
        <v>1</v>
      </c>
      <c r="F462" s="1">
        <v>5</v>
      </c>
      <c r="G462" s="1" t="b">
        <v>0</v>
      </c>
      <c r="H462" s="1">
        <v>5</v>
      </c>
      <c r="I462" s="1">
        <v>1</v>
      </c>
      <c r="J462" s="1">
        <v>0.24</v>
      </c>
      <c r="K462" t="str">
        <f t="shared" si="21"/>
        <v>Weekday</v>
      </c>
      <c r="L462" t="str">
        <f t="shared" si="22"/>
        <v>Morning</v>
      </c>
      <c r="M462" t="str">
        <f t="shared" si="23"/>
        <v>Clear</v>
      </c>
      <c r="N462">
        <f>IFERROR(VLOOKUP(A462,Dataset2!A:Z,8,FALSE),"")</f>
        <v>27</v>
      </c>
    </row>
    <row r="463" spans="1:14" x14ac:dyDescent="0.25">
      <c r="A463" s="1">
        <v>462</v>
      </c>
      <c r="B463" s="2">
        <v>40564</v>
      </c>
      <c r="C463" s="1">
        <v>1</v>
      </c>
      <c r="D463" s="1">
        <v>0</v>
      </c>
      <c r="E463" s="1">
        <v>1</v>
      </c>
      <c r="F463" s="1">
        <v>6</v>
      </c>
      <c r="G463" s="1" t="b">
        <v>0</v>
      </c>
      <c r="H463" s="1">
        <v>5</v>
      </c>
      <c r="I463" s="1">
        <v>1</v>
      </c>
      <c r="J463" s="1">
        <v>0.22</v>
      </c>
      <c r="K463" t="str">
        <f t="shared" si="21"/>
        <v>Weekday</v>
      </c>
      <c r="L463" t="str">
        <f t="shared" si="22"/>
        <v>Morning</v>
      </c>
      <c r="M463" t="str">
        <f t="shared" si="23"/>
        <v>Clear</v>
      </c>
      <c r="N463">
        <f>IFERROR(VLOOKUP(A463,Dataset2!A:Z,8,FALSE),"")</f>
        <v>68</v>
      </c>
    </row>
    <row r="464" spans="1:14" x14ac:dyDescent="0.25">
      <c r="A464" s="1">
        <v>463</v>
      </c>
      <c r="B464" s="2">
        <v>40564</v>
      </c>
      <c r="C464" s="1">
        <v>1</v>
      </c>
      <c r="D464" s="1">
        <v>0</v>
      </c>
      <c r="E464" s="1">
        <v>1</v>
      </c>
      <c r="F464" s="1">
        <v>7</v>
      </c>
      <c r="G464" s="1" t="b">
        <v>0</v>
      </c>
      <c r="H464" s="1">
        <v>5</v>
      </c>
      <c r="I464" s="1">
        <v>1</v>
      </c>
      <c r="J464" s="1">
        <v>0.2</v>
      </c>
      <c r="K464" t="str">
        <f t="shared" si="21"/>
        <v>Weekday</v>
      </c>
      <c r="L464" t="str">
        <f t="shared" si="22"/>
        <v>Morning</v>
      </c>
      <c r="M464" t="str">
        <f t="shared" si="23"/>
        <v>Clear</v>
      </c>
      <c r="N464">
        <f>IFERROR(VLOOKUP(A464,Dataset2!A:Z,8,FALSE),"")</f>
        <v>217</v>
      </c>
    </row>
    <row r="465" spans="1:14" x14ac:dyDescent="0.25">
      <c r="A465" s="1">
        <v>464</v>
      </c>
      <c r="B465" s="2">
        <v>40564</v>
      </c>
      <c r="C465" s="1">
        <v>1</v>
      </c>
      <c r="D465" s="1">
        <v>0</v>
      </c>
      <c r="E465" s="1">
        <v>1</v>
      </c>
      <c r="F465" s="1">
        <v>8</v>
      </c>
      <c r="G465" s="1" t="b">
        <v>0</v>
      </c>
      <c r="H465" s="1">
        <v>5</v>
      </c>
      <c r="I465" s="1">
        <v>1</v>
      </c>
      <c r="J465" s="1">
        <v>0.2</v>
      </c>
      <c r="K465" t="str">
        <f t="shared" si="21"/>
        <v>Weekday</v>
      </c>
      <c r="L465" t="str">
        <f t="shared" si="22"/>
        <v>Morning</v>
      </c>
      <c r="M465" t="str">
        <f t="shared" si="23"/>
        <v>Clear</v>
      </c>
      <c r="N465">
        <f>IFERROR(VLOOKUP(A465,Dataset2!A:Z,8,FALSE),"")</f>
        <v>166</v>
      </c>
    </row>
    <row r="466" spans="1:14" x14ac:dyDescent="0.25">
      <c r="A466" s="1">
        <v>465</v>
      </c>
      <c r="B466" s="2">
        <v>40564</v>
      </c>
      <c r="C466" s="1">
        <v>1</v>
      </c>
      <c r="D466" s="1">
        <v>0</v>
      </c>
      <c r="E466" s="1">
        <v>1</v>
      </c>
      <c r="F466" s="1">
        <v>9</v>
      </c>
      <c r="G466" s="1" t="b">
        <v>0</v>
      </c>
      <c r="H466" s="1">
        <v>5</v>
      </c>
      <c r="I466" s="1">
        <v>1</v>
      </c>
      <c r="J466" s="1">
        <v>0.2</v>
      </c>
      <c r="K466" t="str">
        <f t="shared" si="21"/>
        <v>Weekday</v>
      </c>
      <c r="L466" t="str">
        <f t="shared" si="22"/>
        <v>Morning</v>
      </c>
      <c r="M466" t="str">
        <f t="shared" si="23"/>
        <v>Clear</v>
      </c>
      <c r="N466">
        <f>IFERROR(VLOOKUP(A466,Dataset2!A:Z,8,FALSE),"")</f>
        <v>63</v>
      </c>
    </row>
    <row r="467" spans="1:14" x14ac:dyDescent="0.25">
      <c r="A467" s="1">
        <v>466</v>
      </c>
      <c r="B467" s="2">
        <v>40564</v>
      </c>
      <c r="C467" s="1">
        <v>1</v>
      </c>
      <c r="D467" s="1">
        <v>0</v>
      </c>
      <c r="E467" s="1">
        <v>1</v>
      </c>
      <c r="F467" s="1">
        <v>10</v>
      </c>
      <c r="G467" s="1" t="b">
        <v>0</v>
      </c>
      <c r="H467" s="1">
        <v>5</v>
      </c>
      <c r="I467" s="1">
        <v>1</v>
      </c>
      <c r="J467" s="1">
        <v>0.2</v>
      </c>
      <c r="K467" t="str">
        <f t="shared" si="21"/>
        <v>Weekday</v>
      </c>
      <c r="L467" t="str">
        <f t="shared" si="22"/>
        <v>Morning</v>
      </c>
      <c r="M467" t="str">
        <f t="shared" si="23"/>
        <v>Clear</v>
      </c>
      <c r="N467">
        <f>IFERROR(VLOOKUP(A467,Dataset2!A:Z,8,FALSE),"")</f>
        <v>59</v>
      </c>
    </row>
    <row r="468" spans="1:14" x14ac:dyDescent="0.25">
      <c r="A468" s="1">
        <v>467</v>
      </c>
      <c r="B468" s="2">
        <v>40564</v>
      </c>
      <c r="C468" s="1">
        <v>1</v>
      </c>
      <c r="D468" s="1">
        <v>0</v>
      </c>
      <c r="E468" s="1">
        <v>1</v>
      </c>
      <c r="F468" s="1">
        <v>11</v>
      </c>
      <c r="G468" s="1" t="b">
        <v>0</v>
      </c>
      <c r="H468" s="1">
        <v>5</v>
      </c>
      <c r="I468" s="1">
        <v>1</v>
      </c>
      <c r="J468" s="1">
        <v>0.22</v>
      </c>
      <c r="K468" t="str">
        <f t="shared" si="21"/>
        <v>Weekday</v>
      </c>
      <c r="L468" t="str">
        <f t="shared" si="22"/>
        <v>Morning</v>
      </c>
      <c r="M468" t="str">
        <f t="shared" si="23"/>
        <v>Clear</v>
      </c>
      <c r="N468">
        <f>IFERROR(VLOOKUP(A468,Dataset2!A:Z,8,FALSE),"")</f>
        <v>78</v>
      </c>
    </row>
    <row r="469" spans="1:14" x14ac:dyDescent="0.25">
      <c r="A469" s="1">
        <v>468</v>
      </c>
      <c r="B469" s="2">
        <v>40564</v>
      </c>
      <c r="C469" s="1">
        <v>1</v>
      </c>
      <c r="D469" s="1">
        <v>0</v>
      </c>
      <c r="E469" s="1">
        <v>1</v>
      </c>
      <c r="F469" s="1">
        <v>12</v>
      </c>
      <c r="G469" s="1" t="b">
        <v>0</v>
      </c>
      <c r="H469" s="1">
        <v>5</v>
      </c>
      <c r="I469" s="1">
        <v>1</v>
      </c>
      <c r="J469" s="1">
        <v>0.22</v>
      </c>
      <c r="K469" t="str">
        <f t="shared" si="21"/>
        <v>Weekday</v>
      </c>
      <c r="L469" t="str">
        <f t="shared" si="22"/>
        <v>Afternoon</v>
      </c>
      <c r="M469" t="str">
        <f t="shared" si="23"/>
        <v>Clear</v>
      </c>
      <c r="N469">
        <f>IFERROR(VLOOKUP(A469,Dataset2!A:Z,8,FALSE),"")</f>
        <v>73</v>
      </c>
    </row>
    <row r="470" spans="1:14" x14ac:dyDescent="0.25">
      <c r="A470" s="1">
        <v>469</v>
      </c>
      <c r="B470" s="2">
        <v>40564</v>
      </c>
      <c r="C470" s="1">
        <v>1</v>
      </c>
      <c r="D470" s="1">
        <v>0</v>
      </c>
      <c r="E470" s="1">
        <v>1</v>
      </c>
      <c r="F470" s="1">
        <v>13</v>
      </c>
      <c r="G470" s="1" t="b">
        <v>0</v>
      </c>
      <c r="H470" s="1">
        <v>5</v>
      </c>
      <c r="I470" s="1">
        <v>1</v>
      </c>
      <c r="J470" s="1">
        <v>0.2</v>
      </c>
      <c r="K470" t="str">
        <f t="shared" si="21"/>
        <v>Weekday</v>
      </c>
      <c r="L470" t="str">
        <f t="shared" si="22"/>
        <v>Afternoon</v>
      </c>
      <c r="M470" t="str">
        <f t="shared" si="23"/>
        <v>Clear</v>
      </c>
      <c r="N470">
        <f>IFERROR(VLOOKUP(A470,Dataset2!A:Z,8,FALSE),"")</f>
        <v>62</v>
      </c>
    </row>
    <row r="471" spans="1:14" x14ac:dyDescent="0.25">
      <c r="A471" s="1">
        <v>470</v>
      </c>
      <c r="B471" s="2">
        <v>40564</v>
      </c>
      <c r="C471" s="1">
        <v>1</v>
      </c>
      <c r="D471" s="1">
        <v>0</v>
      </c>
      <c r="E471" s="1">
        <v>1</v>
      </c>
      <c r="F471" s="1">
        <v>14</v>
      </c>
      <c r="G471" s="1" t="b">
        <v>0</v>
      </c>
      <c r="H471" s="1">
        <v>5</v>
      </c>
      <c r="I471" s="1">
        <v>1</v>
      </c>
      <c r="J471" s="1">
        <v>0.2</v>
      </c>
      <c r="K471" t="str">
        <f t="shared" si="21"/>
        <v>Weekday</v>
      </c>
      <c r="L471" t="str">
        <f t="shared" si="22"/>
        <v>Afternoon</v>
      </c>
      <c r="M471" t="str">
        <f t="shared" si="23"/>
        <v>Clear</v>
      </c>
      <c r="N471">
        <f>IFERROR(VLOOKUP(A471,Dataset2!A:Z,8,FALSE),"")</f>
        <v>65</v>
      </c>
    </row>
    <row r="472" spans="1:14" x14ac:dyDescent="0.25">
      <c r="A472" s="1">
        <v>471</v>
      </c>
      <c r="B472" s="2">
        <v>40564</v>
      </c>
      <c r="C472" s="1">
        <v>1</v>
      </c>
      <c r="D472" s="1">
        <v>0</v>
      </c>
      <c r="E472" s="1">
        <v>1</v>
      </c>
      <c r="F472" s="1">
        <v>15</v>
      </c>
      <c r="G472" s="1" t="b">
        <v>0</v>
      </c>
      <c r="H472" s="1">
        <v>5</v>
      </c>
      <c r="I472" s="1">
        <v>1</v>
      </c>
      <c r="J472" s="1">
        <v>0.16</v>
      </c>
      <c r="K472" t="str">
        <f t="shared" si="21"/>
        <v>Weekday</v>
      </c>
      <c r="L472" t="str">
        <f t="shared" si="22"/>
        <v>Afternoon</v>
      </c>
      <c r="M472" t="str">
        <f t="shared" si="23"/>
        <v>Clear</v>
      </c>
      <c r="N472">
        <f>IFERROR(VLOOKUP(A472,Dataset2!A:Z,8,FALSE),"")</f>
        <v>97</v>
      </c>
    </row>
    <row r="473" spans="1:14" x14ac:dyDescent="0.25">
      <c r="A473" s="1">
        <v>472</v>
      </c>
      <c r="B473" s="2">
        <v>40564</v>
      </c>
      <c r="C473" s="1">
        <v>1</v>
      </c>
      <c r="D473" s="1">
        <v>0</v>
      </c>
      <c r="E473" s="1">
        <v>1</v>
      </c>
      <c r="F473" s="1">
        <v>16</v>
      </c>
      <c r="G473" s="1" t="b">
        <v>0</v>
      </c>
      <c r="H473" s="1">
        <v>5</v>
      </c>
      <c r="I473" s="1">
        <v>1</v>
      </c>
      <c r="J473" s="1">
        <v>0.16</v>
      </c>
      <c r="K473" t="str">
        <f t="shared" si="21"/>
        <v>Weekday</v>
      </c>
      <c r="L473" t="str">
        <f t="shared" si="22"/>
        <v>Afternoon</v>
      </c>
      <c r="M473" t="str">
        <f t="shared" si="23"/>
        <v>Clear</v>
      </c>
      <c r="N473">
        <f>IFERROR(VLOOKUP(A473,Dataset2!A:Z,8,FALSE),"")</f>
        <v>161</v>
      </c>
    </row>
    <row r="474" spans="1:14" x14ac:dyDescent="0.25">
      <c r="A474" s="1">
        <v>473</v>
      </c>
      <c r="B474" s="2">
        <v>40564</v>
      </c>
      <c r="C474" s="1">
        <v>1</v>
      </c>
      <c r="D474" s="1">
        <v>0</v>
      </c>
      <c r="E474" s="1">
        <v>1</v>
      </c>
      <c r="F474" s="1">
        <v>17</v>
      </c>
      <c r="G474" s="1" t="b">
        <v>0</v>
      </c>
      <c r="H474" s="1">
        <v>5</v>
      </c>
      <c r="I474" s="1">
        <v>1</v>
      </c>
      <c r="J474" s="1">
        <v>0.14000000000000001</v>
      </c>
      <c r="K474" t="str">
        <f t="shared" si="21"/>
        <v>Weekday</v>
      </c>
      <c r="L474" t="str">
        <f t="shared" si="22"/>
        <v>Afternoon</v>
      </c>
      <c r="M474" t="str">
        <f t="shared" si="23"/>
        <v>Clear</v>
      </c>
      <c r="N474">
        <f>IFERROR(VLOOKUP(A474,Dataset2!A:Z,8,FALSE),"")</f>
        <v>120</v>
      </c>
    </row>
    <row r="475" spans="1:14" x14ac:dyDescent="0.25">
      <c r="A475" s="1">
        <v>474</v>
      </c>
      <c r="B475" s="2">
        <v>40564</v>
      </c>
      <c r="C475" s="1">
        <v>1</v>
      </c>
      <c r="D475" s="1">
        <v>0</v>
      </c>
      <c r="E475" s="1">
        <v>1</v>
      </c>
      <c r="F475" s="1">
        <v>18</v>
      </c>
      <c r="G475" s="1" t="b">
        <v>0</v>
      </c>
      <c r="H475" s="1">
        <v>5</v>
      </c>
      <c r="I475" s="1">
        <v>1</v>
      </c>
      <c r="J475" s="1">
        <v>0.12</v>
      </c>
      <c r="K475" t="str">
        <f t="shared" si="21"/>
        <v>Weekday</v>
      </c>
      <c r="L475" t="str">
        <f t="shared" si="22"/>
        <v>Evening</v>
      </c>
      <c r="M475" t="str">
        <f t="shared" si="23"/>
        <v>Clear</v>
      </c>
      <c r="N475">
        <f>IFERROR(VLOOKUP(A475,Dataset2!A:Z,8,FALSE),"")</f>
        <v>96</v>
      </c>
    </row>
    <row r="476" spans="1:14" x14ac:dyDescent="0.25">
      <c r="A476" s="1">
        <v>475</v>
      </c>
      <c r="B476" s="2">
        <v>40564</v>
      </c>
      <c r="C476" s="1">
        <v>1</v>
      </c>
      <c r="D476" s="1">
        <v>0</v>
      </c>
      <c r="E476" s="1">
        <v>1</v>
      </c>
      <c r="F476" s="1">
        <v>19</v>
      </c>
      <c r="G476" s="1" t="b">
        <v>0</v>
      </c>
      <c r="H476" s="1">
        <v>5</v>
      </c>
      <c r="I476" s="1">
        <v>1</v>
      </c>
      <c r="J476" s="1">
        <v>0.12</v>
      </c>
      <c r="K476" t="str">
        <f t="shared" si="21"/>
        <v>Weekday</v>
      </c>
      <c r="L476" t="str">
        <f t="shared" si="22"/>
        <v>Evening</v>
      </c>
      <c r="M476" t="str">
        <f t="shared" si="23"/>
        <v>Clear</v>
      </c>
      <c r="N476">
        <f>IFERROR(VLOOKUP(A476,Dataset2!A:Z,8,FALSE),"")</f>
        <v>53</v>
      </c>
    </row>
    <row r="477" spans="1:14" x14ac:dyDescent="0.25">
      <c r="A477" s="1">
        <v>476</v>
      </c>
      <c r="B477" s="2">
        <v>40564</v>
      </c>
      <c r="C477" s="1">
        <v>1</v>
      </c>
      <c r="D477" s="1">
        <v>0</v>
      </c>
      <c r="E477" s="1">
        <v>1</v>
      </c>
      <c r="F477" s="1">
        <v>20</v>
      </c>
      <c r="G477" s="1" t="b">
        <v>0</v>
      </c>
      <c r="H477" s="1">
        <v>5</v>
      </c>
      <c r="I477" s="1">
        <v>1</v>
      </c>
      <c r="J477" s="1">
        <v>0.1</v>
      </c>
      <c r="K477" t="str">
        <f t="shared" si="21"/>
        <v>Weekday</v>
      </c>
      <c r="L477" t="str">
        <f t="shared" si="22"/>
        <v>Evening</v>
      </c>
      <c r="M477" t="str">
        <f t="shared" si="23"/>
        <v>Clear</v>
      </c>
      <c r="N477">
        <f>IFERROR(VLOOKUP(A477,Dataset2!A:Z,8,FALSE),"")</f>
        <v>41</v>
      </c>
    </row>
    <row r="478" spans="1:14" x14ac:dyDescent="0.25">
      <c r="A478" s="1">
        <v>477</v>
      </c>
      <c r="B478" s="2">
        <v>40564</v>
      </c>
      <c r="C478" s="1">
        <v>1</v>
      </c>
      <c r="D478" s="1">
        <v>0</v>
      </c>
      <c r="E478" s="1">
        <v>1</v>
      </c>
      <c r="F478" s="1">
        <v>21</v>
      </c>
      <c r="G478" s="1" t="b">
        <v>0</v>
      </c>
      <c r="H478" s="1">
        <v>5</v>
      </c>
      <c r="I478" s="1">
        <v>1</v>
      </c>
      <c r="J478" s="1">
        <v>0.08</v>
      </c>
      <c r="K478" t="str">
        <f t="shared" si="21"/>
        <v>Weekday</v>
      </c>
      <c r="L478" t="str">
        <f t="shared" si="22"/>
        <v>Evening</v>
      </c>
      <c r="M478" t="str">
        <f t="shared" si="23"/>
        <v>Clear</v>
      </c>
      <c r="N478">
        <f>IFERROR(VLOOKUP(A478,Dataset2!A:Z,8,FALSE),"")</f>
        <v>34</v>
      </c>
    </row>
    <row r="479" spans="1:14" x14ac:dyDescent="0.25">
      <c r="A479" s="1">
        <v>478</v>
      </c>
      <c r="B479" s="2">
        <v>40564</v>
      </c>
      <c r="C479" s="1">
        <v>1</v>
      </c>
      <c r="D479" s="1">
        <v>0</v>
      </c>
      <c r="E479" s="1">
        <v>1</v>
      </c>
      <c r="F479" s="1">
        <v>22</v>
      </c>
      <c r="G479" s="1" t="b">
        <v>0</v>
      </c>
      <c r="H479" s="1">
        <v>5</v>
      </c>
      <c r="I479" s="1">
        <v>1</v>
      </c>
      <c r="J479" s="1">
        <v>0.06</v>
      </c>
      <c r="K479" t="str">
        <f t="shared" si="21"/>
        <v>Weekday</v>
      </c>
      <c r="L479" t="str">
        <f t="shared" si="22"/>
        <v>Evening</v>
      </c>
      <c r="M479" t="str">
        <f t="shared" si="23"/>
        <v>Clear</v>
      </c>
      <c r="N479">
        <f>IFERROR(VLOOKUP(A479,Dataset2!A:Z,8,FALSE),"")</f>
        <v>27</v>
      </c>
    </row>
    <row r="480" spans="1:14" x14ac:dyDescent="0.25">
      <c r="A480" s="1">
        <v>479</v>
      </c>
      <c r="B480" s="2">
        <v>40564</v>
      </c>
      <c r="C480" s="1">
        <v>1</v>
      </c>
      <c r="D480" s="1">
        <v>0</v>
      </c>
      <c r="E480" s="1">
        <v>1</v>
      </c>
      <c r="F480" s="1">
        <v>23</v>
      </c>
      <c r="G480" s="1" t="b">
        <v>0</v>
      </c>
      <c r="H480" s="1">
        <v>5</v>
      </c>
      <c r="I480" s="1">
        <v>1</v>
      </c>
      <c r="J480" s="1">
        <v>0.06</v>
      </c>
      <c r="K480" t="str">
        <f t="shared" si="21"/>
        <v>Weekday</v>
      </c>
      <c r="L480" t="str">
        <f t="shared" si="22"/>
        <v>Evening</v>
      </c>
      <c r="M480" t="str">
        <f t="shared" si="23"/>
        <v>Clear</v>
      </c>
      <c r="N480">
        <f>IFERROR(VLOOKUP(A480,Dataset2!A:Z,8,FALSE),"")</f>
        <v>13</v>
      </c>
    </row>
    <row r="481" spans="1:14" x14ac:dyDescent="0.25">
      <c r="A481" s="1">
        <v>480</v>
      </c>
      <c r="B481" s="2">
        <v>40565</v>
      </c>
      <c r="C481" s="1">
        <v>1</v>
      </c>
      <c r="D481" s="1">
        <v>0</v>
      </c>
      <c r="E481" s="1">
        <v>1</v>
      </c>
      <c r="F481" s="1">
        <v>0</v>
      </c>
      <c r="G481" s="1" t="b">
        <v>0</v>
      </c>
      <c r="H481" s="1">
        <v>6</v>
      </c>
      <c r="I481" s="1">
        <v>1</v>
      </c>
      <c r="J481" s="1">
        <v>0.04</v>
      </c>
      <c r="K481" t="str">
        <f t="shared" si="21"/>
        <v>Weekend</v>
      </c>
      <c r="L481" t="str">
        <f t="shared" si="22"/>
        <v>Morning</v>
      </c>
      <c r="M481" t="str">
        <f t="shared" si="23"/>
        <v>Clear</v>
      </c>
      <c r="N481">
        <f>IFERROR(VLOOKUP(A481,Dataset2!A:Z,8,FALSE),"")</f>
        <v>12</v>
      </c>
    </row>
    <row r="482" spans="1:14" x14ac:dyDescent="0.25">
      <c r="A482" s="1">
        <v>481</v>
      </c>
      <c r="B482" s="2">
        <v>40565</v>
      </c>
      <c r="C482" s="1">
        <v>1</v>
      </c>
      <c r="D482" s="1">
        <v>0</v>
      </c>
      <c r="E482" s="1">
        <v>1</v>
      </c>
      <c r="F482" s="1">
        <v>1</v>
      </c>
      <c r="G482" s="1" t="b">
        <v>0</v>
      </c>
      <c r="H482" s="1">
        <v>6</v>
      </c>
      <c r="I482" s="1">
        <v>2</v>
      </c>
      <c r="J482" s="1">
        <v>0.04</v>
      </c>
      <c r="K482" t="str">
        <f t="shared" si="21"/>
        <v>Weekend</v>
      </c>
      <c r="L482" t="str">
        <f t="shared" si="22"/>
        <v>Morning</v>
      </c>
      <c r="M482" t="str">
        <f t="shared" si="23"/>
        <v>cloudy</v>
      </c>
      <c r="N482">
        <f>IFERROR(VLOOKUP(A482,Dataset2!A:Z,8,FALSE),"")</f>
        <v>11</v>
      </c>
    </row>
    <row r="483" spans="1:14" x14ac:dyDescent="0.25">
      <c r="A483" s="1">
        <v>482</v>
      </c>
      <c r="B483" s="2">
        <v>40565</v>
      </c>
      <c r="C483" s="1">
        <v>1</v>
      </c>
      <c r="D483" s="1">
        <v>0</v>
      </c>
      <c r="E483" s="1">
        <v>1</v>
      </c>
      <c r="F483" s="1">
        <v>2</v>
      </c>
      <c r="G483" s="1" t="b">
        <v>0</v>
      </c>
      <c r="H483" s="1">
        <v>6</v>
      </c>
      <c r="I483" s="1">
        <v>2</v>
      </c>
      <c r="J483" s="1">
        <v>0.04</v>
      </c>
      <c r="K483" t="str">
        <f t="shared" si="21"/>
        <v>Weekend</v>
      </c>
      <c r="L483" t="str">
        <f t="shared" si="22"/>
        <v>Morning</v>
      </c>
      <c r="M483" t="str">
        <f t="shared" si="23"/>
        <v>cloudy</v>
      </c>
      <c r="N483">
        <f>IFERROR(VLOOKUP(A483,Dataset2!A:Z,8,FALSE),"")</f>
        <v>7</v>
      </c>
    </row>
    <row r="484" spans="1:14" x14ac:dyDescent="0.25">
      <c r="A484" s="1">
        <v>483</v>
      </c>
      <c r="B484" s="2">
        <v>40565</v>
      </c>
      <c r="C484" s="1">
        <v>1</v>
      </c>
      <c r="D484" s="1">
        <v>0</v>
      </c>
      <c r="E484" s="1">
        <v>1</v>
      </c>
      <c r="F484" s="1">
        <v>3</v>
      </c>
      <c r="G484" s="1" t="b">
        <v>0</v>
      </c>
      <c r="H484" s="1">
        <v>6</v>
      </c>
      <c r="I484" s="1">
        <v>2</v>
      </c>
      <c r="J484" s="1">
        <v>0.04</v>
      </c>
      <c r="K484" t="str">
        <f t="shared" si="21"/>
        <v>Weekend</v>
      </c>
      <c r="L484" t="str">
        <f t="shared" si="22"/>
        <v>Morning</v>
      </c>
      <c r="M484" t="str">
        <f t="shared" si="23"/>
        <v>cloudy</v>
      </c>
      <c r="N484">
        <f>IFERROR(VLOOKUP(A484,Dataset2!A:Z,8,FALSE),"")</f>
        <v>3</v>
      </c>
    </row>
    <row r="485" spans="1:14" x14ac:dyDescent="0.25">
      <c r="A485" s="1">
        <v>484</v>
      </c>
      <c r="B485" s="2">
        <v>40565</v>
      </c>
      <c r="C485" s="1">
        <v>1</v>
      </c>
      <c r="D485" s="1">
        <v>0</v>
      </c>
      <c r="E485" s="1">
        <v>1</v>
      </c>
      <c r="F485" s="1">
        <v>4</v>
      </c>
      <c r="G485" s="1" t="b">
        <v>0</v>
      </c>
      <c r="H485" s="1">
        <v>6</v>
      </c>
      <c r="I485" s="1">
        <v>2</v>
      </c>
      <c r="J485" s="1">
        <v>0.02</v>
      </c>
      <c r="K485" t="str">
        <f t="shared" si="21"/>
        <v>Weekend</v>
      </c>
      <c r="L485" t="str">
        <f t="shared" si="22"/>
        <v>Morning</v>
      </c>
      <c r="M485" t="str">
        <f t="shared" si="23"/>
        <v>cloudy</v>
      </c>
      <c r="N485">
        <f>IFERROR(VLOOKUP(A485,Dataset2!A:Z,8,FALSE),"")</f>
        <v>2</v>
      </c>
    </row>
    <row r="486" spans="1:14" x14ac:dyDescent="0.25">
      <c r="A486" s="1">
        <v>485</v>
      </c>
      <c r="B486" s="2">
        <v>40565</v>
      </c>
      <c r="C486" s="1">
        <v>1</v>
      </c>
      <c r="D486" s="1">
        <v>0</v>
      </c>
      <c r="E486" s="1">
        <v>1</v>
      </c>
      <c r="F486" s="1">
        <v>6</v>
      </c>
      <c r="G486" s="1" t="b">
        <v>0</v>
      </c>
      <c r="H486" s="1">
        <v>6</v>
      </c>
      <c r="I486" s="1">
        <v>2</v>
      </c>
      <c r="J486" s="1">
        <v>0.02</v>
      </c>
      <c r="K486" t="str">
        <f t="shared" si="21"/>
        <v>Weekend</v>
      </c>
      <c r="L486" t="str">
        <f t="shared" si="22"/>
        <v>Morning</v>
      </c>
      <c r="M486" t="str">
        <f t="shared" si="23"/>
        <v>cloudy</v>
      </c>
      <c r="N486">
        <f>IFERROR(VLOOKUP(A486,Dataset2!A:Z,8,FALSE),"")</f>
        <v>8</v>
      </c>
    </row>
    <row r="487" spans="1:14" x14ac:dyDescent="0.25">
      <c r="A487" s="1">
        <v>486</v>
      </c>
      <c r="B487" s="2">
        <v>40565</v>
      </c>
      <c r="C487" s="1">
        <v>1</v>
      </c>
      <c r="D487" s="1">
        <v>0</v>
      </c>
      <c r="E487" s="1">
        <v>1</v>
      </c>
      <c r="F487" s="1">
        <v>7</v>
      </c>
      <c r="G487" s="1" t="b">
        <v>0</v>
      </c>
      <c r="H487" s="1">
        <v>6</v>
      </c>
      <c r="I487" s="1">
        <v>1</v>
      </c>
      <c r="J487" s="1">
        <v>0.02</v>
      </c>
      <c r="K487" t="str">
        <f t="shared" si="21"/>
        <v>Weekend</v>
      </c>
      <c r="L487" t="str">
        <f t="shared" si="22"/>
        <v>Morning</v>
      </c>
      <c r="M487" t="str">
        <f t="shared" si="23"/>
        <v>Clear</v>
      </c>
      <c r="N487">
        <f>IFERROR(VLOOKUP(A487,Dataset2!A:Z,8,FALSE),"")</f>
        <v>27</v>
      </c>
    </row>
    <row r="488" spans="1:14" x14ac:dyDescent="0.25">
      <c r="A488" s="1">
        <v>487</v>
      </c>
      <c r="B488" s="2">
        <v>40565</v>
      </c>
      <c r="C488" s="1">
        <v>1</v>
      </c>
      <c r="D488" s="1">
        <v>0</v>
      </c>
      <c r="E488" s="1">
        <v>1</v>
      </c>
      <c r="F488" s="1">
        <v>8</v>
      </c>
      <c r="G488" s="1" t="b">
        <v>0</v>
      </c>
      <c r="H488" s="1">
        <v>6</v>
      </c>
      <c r="I488" s="1">
        <v>1</v>
      </c>
      <c r="J488" s="1">
        <v>0.02</v>
      </c>
      <c r="K488" t="str">
        <f t="shared" si="21"/>
        <v>Weekend</v>
      </c>
      <c r="L488" t="str">
        <f t="shared" si="22"/>
        <v>Morning</v>
      </c>
      <c r="M488" t="str">
        <f t="shared" si="23"/>
        <v>Clear</v>
      </c>
      <c r="N488">
        <f>IFERROR(VLOOKUP(A488,Dataset2!A:Z,8,FALSE),"")</f>
        <v>40</v>
      </c>
    </row>
    <row r="489" spans="1:14" x14ac:dyDescent="0.25">
      <c r="A489" s="1">
        <v>488</v>
      </c>
      <c r="B489" s="2">
        <v>40565</v>
      </c>
      <c r="C489" s="1">
        <v>1</v>
      </c>
      <c r="D489" s="1">
        <v>0</v>
      </c>
      <c r="E489" s="1">
        <v>1</v>
      </c>
      <c r="F489" s="1">
        <v>9</v>
      </c>
      <c r="G489" s="1" t="b">
        <v>0</v>
      </c>
      <c r="H489" s="1">
        <v>6</v>
      </c>
      <c r="I489" s="1">
        <v>1</v>
      </c>
      <c r="J489" s="1">
        <v>0.04</v>
      </c>
      <c r="K489" t="str">
        <f t="shared" si="21"/>
        <v>Weekend</v>
      </c>
      <c r="L489" t="str">
        <f t="shared" si="22"/>
        <v>Morning</v>
      </c>
      <c r="M489" t="str">
        <f t="shared" si="23"/>
        <v>Clear</v>
      </c>
      <c r="N489">
        <f>IFERROR(VLOOKUP(A489,Dataset2!A:Z,8,FALSE),"")</f>
        <v>53</v>
      </c>
    </row>
    <row r="490" spans="1:14" x14ac:dyDescent="0.25">
      <c r="A490" s="1">
        <v>489</v>
      </c>
      <c r="B490" s="2">
        <v>40565</v>
      </c>
      <c r="C490" s="1">
        <v>1</v>
      </c>
      <c r="D490" s="1">
        <v>0</v>
      </c>
      <c r="E490" s="1">
        <v>1</v>
      </c>
      <c r="F490" s="1">
        <v>10</v>
      </c>
      <c r="G490" s="1" t="b">
        <v>0</v>
      </c>
      <c r="H490" s="1">
        <v>6</v>
      </c>
      <c r="I490" s="1">
        <v>2</v>
      </c>
      <c r="J490" s="1">
        <v>0.04</v>
      </c>
      <c r="K490" t="str">
        <f t="shared" si="21"/>
        <v>Weekend</v>
      </c>
      <c r="L490" t="str">
        <f t="shared" si="22"/>
        <v>Morning</v>
      </c>
      <c r="M490" t="str">
        <f t="shared" si="23"/>
        <v>cloudy</v>
      </c>
      <c r="N490">
        <f>IFERROR(VLOOKUP(A490,Dataset2!A:Z,8,FALSE),"")</f>
        <v>63</v>
      </c>
    </row>
    <row r="491" spans="1:14" x14ac:dyDescent="0.25">
      <c r="A491" s="1">
        <v>490</v>
      </c>
      <c r="B491" s="2">
        <v>40565</v>
      </c>
      <c r="C491" s="1">
        <v>1</v>
      </c>
      <c r="D491" s="1">
        <v>0</v>
      </c>
      <c r="E491" s="1">
        <v>1</v>
      </c>
      <c r="F491" s="1">
        <v>11</v>
      </c>
      <c r="G491" s="1" t="b">
        <v>0</v>
      </c>
      <c r="H491" s="1">
        <v>6</v>
      </c>
      <c r="I491" s="1">
        <v>2</v>
      </c>
      <c r="J491" s="1">
        <v>0.06</v>
      </c>
      <c r="K491" t="str">
        <f t="shared" si="21"/>
        <v>Weekend</v>
      </c>
      <c r="L491" t="str">
        <f t="shared" si="22"/>
        <v>Morning</v>
      </c>
      <c r="M491" t="str">
        <f t="shared" si="23"/>
        <v>cloudy</v>
      </c>
      <c r="N491">
        <f>IFERROR(VLOOKUP(A491,Dataset2!A:Z,8,FALSE),"")</f>
        <v>70</v>
      </c>
    </row>
    <row r="492" spans="1:14" x14ac:dyDescent="0.25">
      <c r="A492" s="1">
        <v>491</v>
      </c>
      <c r="B492" s="2">
        <v>40565</v>
      </c>
      <c r="C492" s="1">
        <v>1</v>
      </c>
      <c r="D492" s="1">
        <v>0</v>
      </c>
      <c r="E492" s="1">
        <v>1</v>
      </c>
      <c r="F492" s="1">
        <v>12</v>
      </c>
      <c r="G492" s="1" t="b">
        <v>0</v>
      </c>
      <c r="H492" s="1">
        <v>6</v>
      </c>
      <c r="I492" s="1">
        <v>2</v>
      </c>
      <c r="J492" s="1">
        <v>0.06</v>
      </c>
      <c r="K492" t="str">
        <f t="shared" si="21"/>
        <v>Weekend</v>
      </c>
      <c r="L492" t="str">
        <f t="shared" si="22"/>
        <v>Afternoon</v>
      </c>
      <c r="M492" t="str">
        <f t="shared" si="23"/>
        <v>cloudy</v>
      </c>
      <c r="N492">
        <f>IFERROR(VLOOKUP(A492,Dataset2!A:Z,8,FALSE),"")</f>
        <v>84</v>
      </c>
    </row>
    <row r="493" spans="1:14" x14ac:dyDescent="0.25">
      <c r="A493" s="1">
        <v>492</v>
      </c>
      <c r="B493" s="2">
        <v>40565</v>
      </c>
      <c r="C493" s="1">
        <v>1</v>
      </c>
      <c r="D493" s="1">
        <v>0</v>
      </c>
      <c r="E493" s="1">
        <v>1</v>
      </c>
      <c r="F493" s="1">
        <v>13</v>
      </c>
      <c r="G493" s="1" t="b">
        <v>0</v>
      </c>
      <c r="H493" s="1">
        <v>6</v>
      </c>
      <c r="I493" s="1">
        <v>1</v>
      </c>
      <c r="J493" s="1">
        <v>0.08</v>
      </c>
      <c r="K493" t="str">
        <f t="shared" si="21"/>
        <v>Weekend</v>
      </c>
      <c r="L493" t="str">
        <f t="shared" si="22"/>
        <v>Afternoon</v>
      </c>
      <c r="M493" t="str">
        <f t="shared" si="23"/>
        <v>Clear</v>
      </c>
      <c r="N493">
        <f>IFERROR(VLOOKUP(A493,Dataset2!A:Z,8,FALSE),"")</f>
        <v>75</v>
      </c>
    </row>
    <row r="494" spans="1:14" x14ac:dyDescent="0.25">
      <c r="A494" s="1">
        <v>493</v>
      </c>
      <c r="B494" s="2">
        <v>40565</v>
      </c>
      <c r="C494" s="1">
        <v>1</v>
      </c>
      <c r="D494" s="1">
        <v>0</v>
      </c>
      <c r="E494" s="1">
        <v>1</v>
      </c>
      <c r="F494" s="1">
        <v>14</v>
      </c>
      <c r="G494" s="1" t="b">
        <v>0</v>
      </c>
      <c r="H494" s="1">
        <v>6</v>
      </c>
      <c r="I494" s="1">
        <v>1</v>
      </c>
      <c r="J494" s="1">
        <v>0.1</v>
      </c>
      <c r="K494" t="str">
        <f t="shared" si="21"/>
        <v>Weekend</v>
      </c>
      <c r="L494" t="str">
        <f t="shared" si="22"/>
        <v>Afternoon</v>
      </c>
      <c r="M494" t="str">
        <f t="shared" si="23"/>
        <v>Clear</v>
      </c>
      <c r="N494">
        <f>IFERROR(VLOOKUP(A494,Dataset2!A:Z,8,FALSE),"")</f>
        <v>103</v>
      </c>
    </row>
    <row r="495" spans="1:14" x14ac:dyDescent="0.25">
      <c r="A495" s="1">
        <v>494</v>
      </c>
      <c r="B495" s="2">
        <v>40565</v>
      </c>
      <c r="C495" s="1">
        <v>1</v>
      </c>
      <c r="D495" s="1">
        <v>0</v>
      </c>
      <c r="E495" s="1">
        <v>1</v>
      </c>
      <c r="F495" s="1">
        <v>15</v>
      </c>
      <c r="G495" s="1" t="b">
        <v>0</v>
      </c>
      <c r="H495" s="1">
        <v>6</v>
      </c>
      <c r="I495" s="1">
        <v>1</v>
      </c>
      <c r="J495" s="1">
        <v>0.12</v>
      </c>
      <c r="K495" t="str">
        <f t="shared" si="21"/>
        <v>Weekend</v>
      </c>
      <c r="L495" t="str">
        <f t="shared" si="22"/>
        <v>Afternoon</v>
      </c>
      <c r="M495" t="str">
        <f t="shared" si="23"/>
        <v>Clear</v>
      </c>
      <c r="N495">
        <f>IFERROR(VLOOKUP(A495,Dataset2!A:Z,8,FALSE),"")</f>
        <v>83</v>
      </c>
    </row>
    <row r="496" spans="1:14" x14ac:dyDescent="0.25">
      <c r="A496" s="1">
        <v>495</v>
      </c>
      <c r="B496" s="2">
        <v>40565</v>
      </c>
      <c r="C496" s="1">
        <v>1</v>
      </c>
      <c r="D496" s="1">
        <v>0</v>
      </c>
      <c r="E496" s="1">
        <v>1</v>
      </c>
      <c r="F496" s="1">
        <v>16</v>
      </c>
      <c r="G496" s="1" t="b">
        <v>0</v>
      </c>
      <c r="H496" s="1">
        <v>6</v>
      </c>
      <c r="I496" s="1">
        <v>1</v>
      </c>
      <c r="J496" s="1">
        <v>0.12</v>
      </c>
      <c r="K496" t="str">
        <f t="shared" si="21"/>
        <v>Weekend</v>
      </c>
      <c r="L496" t="str">
        <f t="shared" si="22"/>
        <v>Afternoon</v>
      </c>
      <c r="M496" t="str">
        <f t="shared" si="23"/>
        <v>Clear</v>
      </c>
      <c r="N496">
        <f>IFERROR(VLOOKUP(A496,Dataset2!A:Z,8,FALSE),"")</f>
        <v>67</v>
      </c>
    </row>
    <row r="497" spans="1:14" x14ac:dyDescent="0.25">
      <c r="A497" s="1">
        <v>496</v>
      </c>
      <c r="B497" s="2">
        <v>40565</v>
      </c>
      <c r="C497" s="1">
        <v>1</v>
      </c>
      <c r="D497" s="1">
        <v>0</v>
      </c>
      <c r="E497" s="1">
        <v>1</v>
      </c>
      <c r="F497" s="1">
        <v>17</v>
      </c>
      <c r="G497" s="1" t="b">
        <v>0</v>
      </c>
      <c r="H497" s="1">
        <v>6</v>
      </c>
      <c r="I497" s="1">
        <v>1</v>
      </c>
      <c r="J497" s="1">
        <v>0.12</v>
      </c>
      <c r="K497" t="str">
        <f t="shared" si="21"/>
        <v>Weekend</v>
      </c>
      <c r="L497" t="str">
        <f t="shared" si="22"/>
        <v>Afternoon</v>
      </c>
      <c r="M497" t="str">
        <f t="shared" si="23"/>
        <v>Clear</v>
      </c>
      <c r="N497">
        <f>IFERROR(VLOOKUP(A497,Dataset2!A:Z,8,FALSE),"")</f>
        <v>54</v>
      </c>
    </row>
    <row r="498" spans="1:14" x14ac:dyDescent="0.25">
      <c r="A498" s="1">
        <v>497</v>
      </c>
      <c r="B498" s="2">
        <v>40565</v>
      </c>
      <c r="C498" s="1">
        <v>1</v>
      </c>
      <c r="D498" s="1">
        <v>0</v>
      </c>
      <c r="E498" s="1">
        <v>1</v>
      </c>
      <c r="F498" s="1">
        <v>18</v>
      </c>
      <c r="G498" s="1" t="b">
        <v>0</v>
      </c>
      <c r="H498" s="1">
        <v>6</v>
      </c>
      <c r="I498" s="1">
        <v>1</v>
      </c>
      <c r="J498" s="1">
        <v>0.08</v>
      </c>
      <c r="K498" t="str">
        <f t="shared" si="21"/>
        <v>Weekend</v>
      </c>
      <c r="L498" t="str">
        <f t="shared" si="22"/>
        <v>Evening</v>
      </c>
      <c r="M498" t="str">
        <f t="shared" si="23"/>
        <v>Clear</v>
      </c>
      <c r="N498">
        <f>IFERROR(VLOOKUP(A498,Dataset2!A:Z,8,FALSE),"")</f>
        <v>59</v>
      </c>
    </row>
    <row r="499" spans="1:14" x14ac:dyDescent="0.25">
      <c r="A499" s="1">
        <v>498</v>
      </c>
      <c r="B499" s="2">
        <v>40565</v>
      </c>
      <c r="C499" s="1">
        <v>1</v>
      </c>
      <c r="D499" s="1">
        <v>0</v>
      </c>
      <c r="E499" s="1">
        <v>1</v>
      </c>
      <c r="F499" s="1">
        <v>19</v>
      </c>
      <c r="G499" s="1" t="b">
        <v>0</v>
      </c>
      <c r="H499" s="1">
        <v>6</v>
      </c>
      <c r="I499" s="1">
        <v>1</v>
      </c>
      <c r="J499" s="1">
        <v>0.08</v>
      </c>
      <c r="K499" t="str">
        <f t="shared" si="21"/>
        <v>Weekend</v>
      </c>
      <c r="L499" t="str">
        <f t="shared" si="22"/>
        <v>Evening</v>
      </c>
      <c r="M499" t="str">
        <f t="shared" si="23"/>
        <v>Clear</v>
      </c>
      <c r="N499">
        <f>IFERROR(VLOOKUP(A499,Dataset2!A:Z,8,FALSE),"")</f>
        <v>45</v>
      </c>
    </row>
    <row r="500" spans="1:14" x14ac:dyDescent="0.25">
      <c r="A500" s="1">
        <v>499</v>
      </c>
      <c r="B500" s="2">
        <v>40565</v>
      </c>
      <c r="C500" s="1">
        <v>1</v>
      </c>
      <c r="D500" s="1">
        <v>0</v>
      </c>
      <c r="E500" s="1">
        <v>1</v>
      </c>
      <c r="F500" s="1">
        <v>20</v>
      </c>
      <c r="G500" s="1" t="b">
        <v>0</v>
      </c>
      <c r="H500" s="1">
        <v>6</v>
      </c>
      <c r="I500" s="1">
        <v>1</v>
      </c>
      <c r="J500" s="1">
        <v>0.06</v>
      </c>
      <c r="K500" t="str">
        <f t="shared" si="21"/>
        <v>Weekend</v>
      </c>
      <c r="L500" t="str">
        <f t="shared" si="22"/>
        <v>Evening</v>
      </c>
      <c r="M500" t="str">
        <f t="shared" si="23"/>
        <v>Clear</v>
      </c>
      <c r="N500">
        <f>IFERROR(VLOOKUP(A500,Dataset2!A:Z,8,FALSE),"")</f>
        <v>39</v>
      </c>
    </row>
    <row r="501" spans="1:14" x14ac:dyDescent="0.25">
      <c r="A501" s="1">
        <v>500</v>
      </c>
      <c r="B501" s="2">
        <v>40565</v>
      </c>
      <c r="C501" s="1">
        <v>1</v>
      </c>
      <c r="D501" s="1">
        <v>0</v>
      </c>
      <c r="E501" s="1">
        <v>1</v>
      </c>
      <c r="F501" s="1">
        <v>21</v>
      </c>
      <c r="G501" s="1" t="b">
        <v>0</v>
      </c>
      <c r="H501" s="1">
        <v>6</v>
      </c>
      <c r="I501" s="1">
        <v>1</v>
      </c>
      <c r="J501" s="1">
        <v>0.06</v>
      </c>
      <c r="K501" t="str">
        <f t="shared" si="21"/>
        <v>Weekend</v>
      </c>
      <c r="L501" t="str">
        <f t="shared" si="22"/>
        <v>Evening</v>
      </c>
      <c r="M501" t="str">
        <f t="shared" si="23"/>
        <v>Clear</v>
      </c>
      <c r="N501">
        <f>IFERROR(VLOOKUP(A501,Dataset2!A:Z,8,FALSE),"")</f>
        <v>30</v>
      </c>
    </row>
    <row r="502" spans="1:14" x14ac:dyDescent="0.25">
      <c r="A502" s="1">
        <v>501</v>
      </c>
      <c r="B502" s="2">
        <v>40565</v>
      </c>
      <c r="C502" s="1">
        <v>1</v>
      </c>
      <c r="D502" s="1">
        <v>0</v>
      </c>
      <c r="E502" s="1">
        <v>1</v>
      </c>
      <c r="F502" s="1">
        <v>22</v>
      </c>
      <c r="G502" s="1" t="b">
        <v>0</v>
      </c>
      <c r="H502" s="1">
        <v>6</v>
      </c>
      <c r="I502" s="1">
        <v>1</v>
      </c>
      <c r="J502" s="1">
        <v>0.06</v>
      </c>
      <c r="K502" t="str">
        <f t="shared" si="21"/>
        <v>Weekend</v>
      </c>
      <c r="L502" t="str">
        <f t="shared" si="22"/>
        <v>Evening</v>
      </c>
      <c r="M502" t="str">
        <f t="shared" si="23"/>
        <v>Clear</v>
      </c>
      <c r="N502">
        <f>IFERROR(VLOOKUP(A502,Dataset2!A:Z,8,FALSE),"")</f>
        <v>33</v>
      </c>
    </row>
    <row r="503" spans="1:14" x14ac:dyDescent="0.25">
      <c r="A503" s="1">
        <v>502</v>
      </c>
      <c r="B503" s="2">
        <v>40565</v>
      </c>
      <c r="C503" s="1">
        <v>1</v>
      </c>
      <c r="D503" s="1">
        <v>0</v>
      </c>
      <c r="E503" s="1">
        <v>1</v>
      </c>
      <c r="F503" s="1">
        <v>23</v>
      </c>
      <c r="G503" s="1" t="b">
        <v>0</v>
      </c>
      <c r="H503" s="1">
        <v>6</v>
      </c>
      <c r="I503" s="1">
        <v>1</v>
      </c>
      <c r="J503" s="1">
        <v>0.04</v>
      </c>
      <c r="K503" t="str">
        <f t="shared" si="21"/>
        <v>Weekend</v>
      </c>
      <c r="L503" t="str">
        <f t="shared" si="22"/>
        <v>Evening</v>
      </c>
      <c r="M503" t="str">
        <f t="shared" si="23"/>
        <v>Clear</v>
      </c>
      <c r="N503">
        <f>IFERROR(VLOOKUP(A503,Dataset2!A:Z,8,FALSE),"")</f>
        <v>22</v>
      </c>
    </row>
    <row r="504" spans="1:14" x14ac:dyDescent="0.25">
      <c r="A504" s="1">
        <v>503</v>
      </c>
      <c r="B504" s="2">
        <v>40566</v>
      </c>
      <c r="C504" s="1">
        <v>1</v>
      </c>
      <c r="D504" s="1">
        <v>0</v>
      </c>
      <c r="E504" s="1">
        <v>1</v>
      </c>
      <c r="F504" s="1">
        <v>0</v>
      </c>
      <c r="G504" s="1" t="b">
        <v>0</v>
      </c>
      <c r="H504" s="1">
        <v>0</v>
      </c>
      <c r="I504" s="1">
        <v>1</v>
      </c>
      <c r="J504" s="1">
        <v>0.04</v>
      </c>
      <c r="K504" t="str">
        <f t="shared" si="21"/>
        <v>Weekend</v>
      </c>
      <c r="L504" t="str">
        <f t="shared" si="22"/>
        <v>Morning</v>
      </c>
      <c r="M504" t="str">
        <f t="shared" si="23"/>
        <v>Clear</v>
      </c>
      <c r="N504">
        <f>IFERROR(VLOOKUP(A504,Dataset2!A:Z,8,FALSE),"")</f>
        <v>13</v>
      </c>
    </row>
    <row r="505" spans="1:14" x14ac:dyDescent="0.25">
      <c r="A505" s="1">
        <v>504</v>
      </c>
      <c r="B505" s="2">
        <v>40566</v>
      </c>
      <c r="C505" s="1">
        <v>1</v>
      </c>
      <c r="D505" s="1">
        <v>0</v>
      </c>
      <c r="E505" s="1">
        <v>1</v>
      </c>
      <c r="F505" s="1">
        <v>1</v>
      </c>
      <c r="G505" s="1" t="b">
        <v>0</v>
      </c>
      <c r="H505" s="1">
        <v>0</v>
      </c>
      <c r="I505" s="1">
        <v>1</v>
      </c>
      <c r="J505" s="1">
        <v>0.04</v>
      </c>
      <c r="K505" t="str">
        <f t="shared" si="21"/>
        <v>Weekend</v>
      </c>
      <c r="L505" t="str">
        <f t="shared" si="22"/>
        <v>Morning</v>
      </c>
      <c r="M505" t="str">
        <f t="shared" si="23"/>
        <v>Clear</v>
      </c>
      <c r="N505">
        <f>IFERROR(VLOOKUP(A505,Dataset2!A:Z,8,FALSE),"")</f>
        <v>18</v>
      </c>
    </row>
    <row r="506" spans="1:14" x14ac:dyDescent="0.25">
      <c r="A506" s="1">
        <v>505</v>
      </c>
      <c r="B506" s="2">
        <v>40566</v>
      </c>
      <c r="C506" s="1">
        <v>1</v>
      </c>
      <c r="D506" s="1">
        <v>0</v>
      </c>
      <c r="E506" s="1">
        <v>1</v>
      </c>
      <c r="F506" s="1">
        <v>2</v>
      </c>
      <c r="G506" s="1" t="b">
        <v>0</v>
      </c>
      <c r="H506" s="1">
        <v>0</v>
      </c>
      <c r="I506" s="1">
        <v>1</v>
      </c>
      <c r="J506" s="1">
        <v>0.02</v>
      </c>
      <c r="K506" t="str">
        <f t="shared" si="21"/>
        <v>Weekend</v>
      </c>
      <c r="L506" t="str">
        <f t="shared" si="22"/>
        <v>Morning</v>
      </c>
      <c r="M506" t="str">
        <f t="shared" si="23"/>
        <v>Clear</v>
      </c>
      <c r="N506">
        <f>IFERROR(VLOOKUP(A506,Dataset2!A:Z,8,FALSE),"")</f>
        <v>5</v>
      </c>
    </row>
    <row r="507" spans="1:14" x14ac:dyDescent="0.25">
      <c r="A507" s="1">
        <v>506</v>
      </c>
      <c r="B507" s="2">
        <v>40566</v>
      </c>
      <c r="C507" s="1">
        <v>1</v>
      </c>
      <c r="D507" s="1">
        <v>0</v>
      </c>
      <c r="E507" s="1">
        <v>1</v>
      </c>
      <c r="F507" s="1">
        <v>3</v>
      </c>
      <c r="G507" s="1" t="b">
        <v>0</v>
      </c>
      <c r="H507" s="1">
        <v>0</v>
      </c>
      <c r="I507" s="1">
        <v>1</v>
      </c>
      <c r="J507" s="1">
        <v>0.02</v>
      </c>
      <c r="K507" t="str">
        <f t="shared" si="21"/>
        <v>Weekend</v>
      </c>
      <c r="L507" t="str">
        <f t="shared" si="22"/>
        <v>Morning</v>
      </c>
      <c r="M507" t="str">
        <f t="shared" si="23"/>
        <v>Clear</v>
      </c>
      <c r="N507">
        <f>IFERROR(VLOOKUP(A507,Dataset2!A:Z,8,FALSE),"")</f>
        <v>3</v>
      </c>
    </row>
    <row r="508" spans="1:14" x14ac:dyDescent="0.25">
      <c r="A508" s="1">
        <v>507</v>
      </c>
      <c r="B508" s="2">
        <v>40566</v>
      </c>
      <c r="C508" s="1">
        <v>1</v>
      </c>
      <c r="D508" s="1">
        <v>0</v>
      </c>
      <c r="E508" s="1">
        <v>1</v>
      </c>
      <c r="F508" s="1">
        <v>5</v>
      </c>
      <c r="G508" s="1" t="b">
        <v>0</v>
      </c>
      <c r="H508" s="1">
        <v>0</v>
      </c>
      <c r="I508" s="1">
        <v>2</v>
      </c>
      <c r="J508" s="1">
        <v>0.04</v>
      </c>
      <c r="K508" t="str">
        <f t="shared" si="21"/>
        <v>Weekend</v>
      </c>
      <c r="L508" t="str">
        <f t="shared" si="22"/>
        <v>Morning</v>
      </c>
      <c r="M508" t="str">
        <f t="shared" si="23"/>
        <v>cloudy</v>
      </c>
      <c r="N508">
        <f>IFERROR(VLOOKUP(A508,Dataset2!A:Z,8,FALSE),"")</f>
        <v>1</v>
      </c>
    </row>
    <row r="509" spans="1:14" x14ac:dyDescent="0.25">
      <c r="A509" s="1">
        <v>508</v>
      </c>
      <c r="B509" s="2">
        <v>40566</v>
      </c>
      <c r="C509" s="1">
        <v>1</v>
      </c>
      <c r="D509" s="1">
        <v>0</v>
      </c>
      <c r="E509" s="1">
        <v>1</v>
      </c>
      <c r="F509" s="1">
        <v>6</v>
      </c>
      <c r="G509" s="1" t="b">
        <v>0</v>
      </c>
      <c r="H509" s="1">
        <v>0</v>
      </c>
      <c r="I509" s="1">
        <v>2</v>
      </c>
      <c r="J509" s="1">
        <v>0.04</v>
      </c>
      <c r="K509" t="str">
        <f t="shared" si="21"/>
        <v>Weekend</v>
      </c>
      <c r="L509" t="str">
        <f t="shared" si="22"/>
        <v>Morning</v>
      </c>
      <c r="M509" t="str">
        <f t="shared" si="23"/>
        <v>cloudy</v>
      </c>
      <c r="N509">
        <f>IFERROR(VLOOKUP(A509,Dataset2!A:Z,8,FALSE),"")</f>
        <v>2</v>
      </c>
    </row>
    <row r="510" spans="1:14" x14ac:dyDescent="0.25">
      <c r="A510" s="1">
        <v>509</v>
      </c>
      <c r="B510" s="2">
        <v>40566</v>
      </c>
      <c r="C510" s="1">
        <v>1</v>
      </c>
      <c r="D510" s="1">
        <v>0</v>
      </c>
      <c r="E510" s="1">
        <v>1</v>
      </c>
      <c r="F510" s="1">
        <v>7</v>
      </c>
      <c r="G510" s="1" t="b">
        <v>0</v>
      </c>
      <c r="H510" s="1">
        <v>0</v>
      </c>
      <c r="I510" s="1">
        <v>1</v>
      </c>
      <c r="J510" s="1">
        <v>0.08</v>
      </c>
      <c r="K510" t="str">
        <f t="shared" si="21"/>
        <v>Weekend</v>
      </c>
      <c r="L510" t="str">
        <f t="shared" si="22"/>
        <v>Morning</v>
      </c>
      <c r="M510" t="str">
        <f t="shared" si="23"/>
        <v>Clear</v>
      </c>
      <c r="N510">
        <f>IFERROR(VLOOKUP(A510,Dataset2!A:Z,8,FALSE),"")</f>
        <v>19</v>
      </c>
    </row>
    <row r="511" spans="1:14" x14ac:dyDescent="0.25">
      <c r="A511" s="1">
        <v>510</v>
      </c>
      <c r="B511" s="2">
        <v>40566</v>
      </c>
      <c r="C511" s="1">
        <v>1</v>
      </c>
      <c r="D511" s="1">
        <v>0</v>
      </c>
      <c r="E511" s="1">
        <v>1</v>
      </c>
      <c r="F511" s="1">
        <v>8</v>
      </c>
      <c r="G511" s="1" t="b">
        <v>0</v>
      </c>
      <c r="H511" s="1">
        <v>0</v>
      </c>
      <c r="I511" s="1">
        <v>1</v>
      </c>
      <c r="J511" s="1">
        <v>0.06</v>
      </c>
      <c r="K511" t="str">
        <f t="shared" si="21"/>
        <v>Weekend</v>
      </c>
      <c r="L511" t="str">
        <f t="shared" si="22"/>
        <v>Morning</v>
      </c>
      <c r="M511" t="str">
        <f t="shared" si="23"/>
        <v>Clear</v>
      </c>
      <c r="N511">
        <f>IFERROR(VLOOKUP(A511,Dataset2!A:Z,8,FALSE),"")</f>
        <v>28</v>
      </c>
    </row>
    <row r="512" spans="1:14" x14ac:dyDescent="0.25">
      <c r="A512" s="1">
        <v>511</v>
      </c>
      <c r="B512" s="2">
        <v>40566</v>
      </c>
      <c r="C512" s="1">
        <v>1</v>
      </c>
      <c r="D512" s="1">
        <v>0</v>
      </c>
      <c r="E512" s="1">
        <v>1</v>
      </c>
      <c r="F512" s="1">
        <v>9</v>
      </c>
      <c r="G512" s="1" t="b">
        <v>0</v>
      </c>
      <c r="H512" s="1">
        <v>0</v>
      </c>
      <c r="I512" s="1">
        <v>1</v>
      </c>
      <c r="J512" s="1">
        <v>0.1</v>
      </c>
      <c r="K512" t="str">
        <f t="shared" si="21"/>
        <v>Weekend</v>
      </c>
      <c r="L512" t="str">
        <f t="shared" si="22"/>
        <v>Morning</v>
      </c>
      <c r="M512" t="str">
        <f t="shared" si="23"/>
        <v>Clear</v>
      </c>
      <c r="N512">
        <f>IFERROR(VLOOKUP(A512,Dataset2!A:Z,8,FALSE),"")</f>
        <v>58</v>
      </c>
    </row>
    <row r="513" spans="1:14" x14ac:dyDescent="0.25">
      <c r="A513" s="1">
        <v>512</v>
      </c>
      <c r="B513" s="2">
        <v>40566</v>
      </c>
      <c r="C513" s="1">
        <v>1</v>
      </c>
      <c r="D513" s="1">
        <v>0</v>
      </c>
      <c r="E513" s="1">
        <v>1</v>
      </c>
      <c r="F513" s="1">
        <v>10</v>
      </c>
      <c r="G513" s="1" t="b">
        <v>0</v>
      </c>
      <c r="H513" s="1">
        <v>0</v>
      </c>
      <c r="I513" s="1">
        <v>1</v>
      </c>
      <c r="J513" s="1">
        <v>0.14000000000000001</v>
      </c>
      <c r="K513" t="str">
        <f t="shared" si="21"/>
        <v>Weekend</v>
      </c>
      <c r="L513" t="str">
        <f t="shared" si="22"/>
        <v>Morning</v>
      </c>
      <c r="M513" t="str">
        <f t="shared" si="23"/>
        <v>Clear</v>
      </c>
      <c r="N513">
        <f>IFERROR(VLOOKUP(A513,Dataset2!A:Z,8,FALSE),"")</f>
        <v>99</v>
      </c>
    </row>
    <row r="514" spans="1:14" x14ac:dyDescent="0.25">
      <c r="A514" s="1">
        <v>513</v>
      </c>
      <c r="B514" s="2">
        <v>40566</v>
      </c>
      <c r="C514" s="1">
        <v>1</v>
      </c>
      <c r="D514" s="1">
        <v>0</v>
      </c>
      <c r="E514" s="1">
        <v>1</v>
      </c>
      <c r="F514" s="1">
        <v>11</v>
      </c>
      <c r="G514" s="1" t="b">
        <v>0</v>
      </c>
      <c r="H514" s="1">
        <v>0</v>
      </c>
      <c r="I514" s="1">
        <v>1</v>
      </c>
      <c r="J514" s="1">
        <v>0.14000000000000001</v>
      </c>
      <c r="K514" t="str">
        <f t="shared" si="21"/>
        <v>Weekend</v>
      </c>
      <c r="L514" t="str">
        <f t="shared" si="22"/>
        <v>Morning</v>
      </c>
      <c r="M514" t="str">
        <f t="shared" si="23"/>
        <v>Clear</v>
      </c>
      <c r="N514">
        <f>IFERROR(VLOOKUP(A514,Dataset2!A:Z,8,FALSE),"")</f>
        <v>116</v>
      </c>
    </row>
    <row r="515" spans="1:14" x14ac:dyDescent="0.25">
      <c r="A515" s="1">
        <v>514</v>
      </c>
      <c r="B515" s="2">
        <v>40566</v>
      </c>
      <c r="C515" s="1">
        <v>1</v>
      </c>
      <c r="D515" s="1">
        <v>0</v>
      </c>
      <c r="E515" s="1">
        <v>1</v>
      </c>
      <c r="F515" s="1">
        <v>12</v>
      </c>
      <c r="G515" s="1" t="b">
        <v>0</v>
      </c>
      <c r="H515" s="1">
        <v>0</v>
      </c>
      <c r="I515" s="1">
        <v>1</v>
      </c>
      <c r="J515" s="1">
        <v>0.16</v>
      </c>
      <c r="K515" t="str">
        <f t="shared" ref="K515:K578" si="24">IF(OR(H515=0,H515=6),"Weekend","Weekday")</f>
        <v>Weekend</v>
      </c>
      <c r="L515" t="str">
        <f t="shared" ref="L515:L578" si="25">IF(F515&lt;12,"Morning",IF(F515&lt;18,"Afternoon","Evening"))</f>
        <v>Afternoon</v>
      </c>
      <c r="M515" t="str">
        <f t="shared" ref="M515:M578" si="26">IF(I515=1,"Clear",IF(I515=2,"cloudy",IF(I515=3,"Rain","Heavy Rain")))</f>
        <v>Clear</v>
      </c>
      <c r="N515">
        <f>IFERROR(VLOOKUP(A515,Dataset2!A:Z,8,FALSE),"")</f>
        <v>87</v>
      </c>
    </row>
    <row r="516" spans="1:14" x14ac:dyDescent="0.25">
      <c r="A516" s="1">
        <v>515</v>
      </c>
      <c r="B516" s="2">
        <v>40566</v>
      </c>
      <c r="C516" s="1">
        <v>1</v>
      </c>
      <c r="D516" s="1">
        <v>0</v>
      </c>
      <c r="E516" s="1">
        <v>1</v>
      </c>
      <c r="F516" s="1">
        <v>13</v>
      </c>
      <c r="G516" s="1" t="b">
        <v>0</v>
      </c>
      <c r="H516" s="1">
        <v>0</v>
      </c>
      <c r="I516" s="1">
        <v>1</v>
      </c>
      <c r="J516" s="1">
        <v>0.14000000000000001</v>
      </c>
      <c r="K516" t="str">
        <f t="shared" si="24"/>
        <v>Weekend</v>
      </c>
      <c r="L516" t="str">
        <f t="shared" si="25"/>
        <v>Afternoon</v>
      </c>
      <c r="M516" t="str">
        <f t="shared" si="26"/>
        <v>Clear</v>
      </c>
      <c r="N516">
        <f>IFERROR(VLOOKUP(A516,Dataset2!A:Z,8,FALSE),"")</f>
        <v>110</v>
      </c>
    </row>
    <row r="517" spans="1:14" x14ac:dyDescent="0.25">
      <c r="A517" s="1">
        <v>516</v>
      </c>
      <c r="B517" s="2">
        <v>40566</v>
      </c>
      <c r="C517" s="1">
        <v>1</v>
      </c>
      <c r="D517" s="1">
        <v>0</v>
      </c>
      <c r="E517" s="1">
        <v>1</v>
      </c>
      <c r="F517" s="1">
        <v>14</v>
      </c>
      <c r="G517" s="1" t="b">
        <v>0</v>
      </c>
      <c r="H517" s="1">
        <v>0</v>
      </c>
      <c r="I517" s="1">
        <v>1</v>
      </c>
      <c r="J517" s="1">
        <v>0.16</v>
      </c>
      <c r="K517" t="str">
        <f t="shared" si="24"/>
        <v>Weekend</v>
      </c>
      <c r="L517" t="str">
        <f t="shared" si="25"/>
        <v>Afternoon</v>
      </c>
      <c r="M517" t="str">
        <f t="shared" si="26"/>
        <v>Clear</v>
      </c>
      <c r="N517">
        <f>IFERROR(VLOOKUP(A517,Dataset2!A:Z,8,FALSE),"")</f>
        <v>77</v>
      </c>
    </row>
    <row r="518" spans="1:14" x14ac:dyDescent="0.25">
      <c r="A518" s="1">
        <v>517</v>
      </c>
      <c r="B518" s="2">
        <v>40566</v>
      </c>
      <c r="C518" s="1">
        <v>1</v>
      </c>
      <c r="D518" s="1">
        <v>0</v>
      </c>
      <c r="E518" s="1">
        <v>1</v>
      </c>
      <c r="F518" s="1">
        <v>15</v>
      </c>
      <c r="G518" s="1" t="b">
        <v>0</v>
      </c>
      <c r="H518" s="1">
        <v>0</v>
      </c>
      <c r="I518" s="1">
        <v>1</v>
      </c>
      <c r="J518" s="1">
        <v>0.16</v>
      </c>
      <c r="K518" t="str">
        <f t="shared" si="24"/>
        <v>Weekend</v>
      </c>
      <c r="L518" t="str">
        <f t="shared" si="25"/>
        <v>Afternoon</v>
      </c>
      <c r="M518" t="str">
        <f t="shared" si="26"/>
        <v>Clear</v>
      </c>
      <c r="N518">
        <f>IFERROR(VLOOKUP(A518,Dataset2!A:Z,8,FALSE),"")</f>
        <v>65</v>
      </c>
    </row>
    <row r="519" spans="1:14" x14ac:dyDescent="0.25">
      <c r="A519" s="1">
        <v>518</v>
      </c>
      <c r="B519" s="2">
        <v>40566</v>
      </c>
      <c r="C519" s="1">
        <v>1</v>
      </c>
      <c r="D519" s="1">
        <v>0</v>
      </c>
      <c r="E519" s="1">
        <v>1</v>
      </c>
      <c r="F519" s="1">
        <v>16</v>
      </c>
      <c r="G519" s="1" t="b">
        <v>0</v>
      </c>
      <c r="H519" s="1">
        <v>0</v>
      </c>
      <c r="I519" s="1">
        <v>1</v>
      </c>
      <c r="J519" s="1">
        <v>0.16</v>
      </c>
      <c r="K519" t="str">
        <f t="shared" si="24"/>
        <v>Weekend</v>
      </c>
      <c r="L519" t="str">
        <f t="shared" si="25"/>
        <v>Afternoon</v>
      </c>
      <c r="M519" t="str">
        <f t="shared" si="26"/>
        <v>Clear</v>
      </c>
      <c r="N519">
        <f>IFERROR(VLOOKUP(A519,Dataset2!A:Z,8,FALSE),"")</f>
        <v>55</v>
      </c>
    </row>
    <row r="520" spans="1:14" x14ac:dyDescent="0.25">
      <c r="A520" s="1">
        <v>519</v>
      </c>
      <c r="B520" s="2">
        <v>40566</v>
      </c>
      <c r="C520" s="1">
        <v>1</v>
      </c>
      <c r="D520" s="1">
        <v>0</v>
      </c>
      <c r="E520" s="1">
        <v>1</v>
      </c>
      <c r="F520" s="1">
        <v>17</v>
      </c>
      <c r="G520" s="1" t="b">
        <v>0</v>
      </c>
      <c r="H520" s="1">
        <v>0</v>
      </c>
      <c r="I520" s="1">
        <v>1</v>
      </c>
      <c r="J520" s="1">
        <v>0.14000000000000001</v>
      </c>
      <c r="K520" t="str">
        <f t="shared" si="24"/>
        <v>Weekend</v>
      </c>
      <c r="L520" t="str">
        <f t="shared" si="25"/>
        <v>Afternoon</v>
      </c>
      <c r="M520" t="str">
        <f t="shared" si="26"/>
        <v>Clear</v>
      </c>
      <c r="N520">
        <f>IFERROR(VLOOKUP(A520,Dataset2!A:Z,8,FALSE),"")</f>
        <v>49</v>
      </c>
    </row>
    <row r="521" spans="1:14" x14ac:dyDescent="0.25">
      <c r="A521" s="1">
        <v>520</v>
      </c>
      <c r="B521" s="2">
        <v>40566</v>
      </c>
      <c r="C521" s="1">
        <v>1</v>
      </c>
      <c r="D521" s="1">
        <v>0</v>
      </c>
      <c r="E521" s="1">
        <v>1</v>
      </c>
      <c r="F521" s="1">
        <v>18</v>
      </c>
      <c r="G521" s="1" t="b">
        <v>0</v>
      </c>
      <c r="H521" s="1">
        <v>0</v>
      </c>
      <c r="I521" s="1">
        <v>1</v>
      </c>
      <c r="J521" s="1">
        <v>0.12</v>
      </c>
      <c r="K521" t="str">
        <f t="shared" si="24"/>
        <v>Weekend</v>
      </c>
      <c r="L521" t="str">
        <f t="shared" si="25"/>
        <v>Evening</v>
      </c>
      <c r="M521" t="str">
        <f t="shared" si="26"/>
        <v>Clear</v>
      </c>
      <c r="N521">
        <f>IFERROR(VLOOKUP(A521,Dataset2!A:Z,8,FALSE),"")</f>
        <v>50</v>
      </c>
    </row>
    <row r="522" spans="1:14" x14ac:dyDescent="0.25">
      <c r="A522" s="1">
        <v>521</v>
      </c>
      <c r="B522" s="2">
        <v>40566</v>
      </c>
      <c r="C522" s="1">
        <v>1</v>
      </c>
      <c r="D522" s="1">
        <v>0</v>
      </c>
      <c r="E522" s="1">
        <v>1</v>
      </c>
      <c r="F522" s="1">
        <v>19</v>
      </c>
      <c r="G522" s="1" t="b">
        <v>0</v>
      </c>
      <c r="H522" s="1">
        <v>0</v>
      </c>
      <c r="I522" s="1">
        <v>1</v>
      </c>
      <c r="J522" s="1">
        <v>0.12</v>
      </c>
      <c r="K522" t="str">
        <f t="shared" si="24"/>
        <v>Weekend</v>
      </c>
      <c r="L522" t="str">
        <f t="shared" si="25"/>
        <v>Evening</v>
      </c>
      <c r="M522" t="str">
        <f t="shared" si="26"/>
        <v>Clear</v>
      </c>
      <c r="N522">
        <f>IFERROR(VLOOKUP(A522,Dataset2!A:Z,8,FALSE),"")</f>
        <v>35</v>
      </c>
    </row>
    <row r="523" spans="1:14" x14ac:dyDescent="0.25">
      <c r="A523" s="1">
        <v>522</v>
      </c>
      <c r="B523" s="2">
        <v>40566</v>
      </c>
      <c r="C523" s="1">
        <v>1</v>
      </c>
      <c r="D523" s="1">
        <v>0</v>
      </c>
      <c r="E523" s="1">
        <v>1</v>
      </c>
      <c r="F523" s="1">
        <v>20</v>
      </c>
      <c r="G523" s="1" t="b">
        <v>0</v>
      </c>
      <c r="H523" s="1">
        <v>0</v>
      </c>
      <c r="I523" s="1">
        <v>1</v>
      </c>
      <c r="J523" s="1">
        <v>0.1</v>
      </c>
      <c r="K523" t="str">
        <f t="shared" si="24"/>
        <v>Weekend</v>
      </c>
      <c r="L523" t="str">
        <f t="shared" si="25"/>
        <v>Evening</v>
      </c>
      <c r="M523" t="str">
        <f t="shared" si="26"/>
        <v>Clear</v>
      </c>
      <c r="N523">
        <f>IFERROR(VLOOKUP(A523,Dataset2!A:Z,8,FALSE),"")</f>
        <v>25</v>
      </c>
    </row>
    <row r="524" spans="1:14" x14ac:dyDescent="0.25">
      <c r="A524" s="1">
        <v>523</v>
      </c>
      <c r="B524" s="2">
        <v>40566</v>
      </c>
      <c r="C524" s="1">
        <v>1</v>
      </c>
      <c r="D524" s="1">
        <v>0</v>
      </c>
      <c r="E524" s="1">
        <v>1</v>
      </c>
      <c r="F524" s="1">
        <v>21</v>
      </c>
      <c r="G524" s="1" t="b">
        <v>0</v>
      </c>
      <c r="H524" s="1">
        <v>0</v>
      </c>
      <c r="I524" s="1">
        <v>1</v>
      </c>
      <c r="J524" s="1">
        <v>0.1</v>
      </c>
      <c r="K524" t="str">
        <f t="shared" si="24"/>
        <v>Weekend</v>
      </c>
      <c r="L524" t="str">
        <f t="shared" si="25"/>
        <v>Evening</v>
      </c>
      <c r="M524" t="str">
        <f t="shared" si="26"/>
        <v>Clear</v>
      </c>
      <c r="N524">
        <f>IFERROR(VLOOKUP(A524,Dataset2!A:Z,8,FALSE),"")</f>
        <v>28</v>
      </c>
    </row>
    <row r="525" spans="1:14" x14ac:dyDescent="0.25">
      <c r="A525" s="1">
        <v>524</v>
      </c>
      <c r="B525" s="2">
        <v>40566</v>
      </c>
      <c r="C525" s="1">
        <v>1</v>
      </c>
      <c r="D525" s="1">
        <v>0</v>
      </c>
      <c r="E525" s="1">
        <v>1</v>
      </c>
      <c r="F525" s="1">
        <v>22</v>
      </c>
      <c r="G525" s="1" t="b">
        <v>0</v>
      </c>
      <c r="H525" s="1">
        <v>0</v>
      </c>
      <c r="I525" s="1">
        <v>1</v>
      </c>
      <c r="J525" s="1">
        <v>0.08</v>
      </c>
      <c r="K525" t="str">
        <f t="shared" si="24"/>
        <v>Weekend</v>
      </c>
      <c r="L525" t="str">
        <f t="shared" si="25"/>
        <v>Evening</v>
      </c>
      <c r="M525" t="str">
        <f t="shared" si="26"/>
        <v>Clear</v>
      </c>
      <c r="N525">
        <f>IFERROR(VLOOKUP(A525,Dataset2!A:Z,8,FALSE),"")</f>
        <v>21</v>
      </c>
    </row>
    <row r="526" spans="1:14" x14ac:dyDescent="0.25">
      <c r="A526" s="1">
        <v>525</v>
      </c>
      <c r="B526" s="2">
        <v>40566</v>
      </c>
      <c r="C526" s="1">
        <v>1</v>
      </c>
      <c r="D526" s="1">
        <v>0</v>
      </c>
      <c r="E526" s="1">
        <v>1</v>
      </c>
      <c r="F526" s="1">
        <v>23</v>
      </c>
      <c r="G526" s="1" t="b">
        <v>0</v>
      </c>
      <c r="H526" s="1">
        <v>0</v>
      </c>
      <c r="I526" s="1">
        <v>1</v>
      </c>
      <c r="J526" s="1">
        <v>0.06</v>
      </c>
      <c r="K526" t="str">
        <f t="shared" si="24"/>
        <v>Weekend</v>
      </c>
      <c r="L526" t="str">
        <f t="shared" si="25"/>
        <v>Evening</v>
      </c>
      <c r="M526" t="str">
        <f t="shared" si="26"/>
        <v>Clear</v>
      </c>
      <c r="N526">
        <f>IFERROR(VLOOKUP(A526,Dataset2!A:Z,8,FALSE),"")</f>
        <v>7</v>
      </c>
    </row>
    <row r="527" spans="1:14" x14ac:dyDescent="0.25">
      <c r="A527" s="1">
        <v>526</v>
      </c>
      <c r="B527" s="2">
        <v>40567</v>
      </c>
      <c r="C527" s="1">
        <v>1</v>
      </c>
      <c r="D527" s="1">
        <v>0</v>
      </c>
      <c r="E527" s="1">
        <v>1</v>
      </c>
      <c r="F527" s="1">
        <v>0</v>
      </c>
      <c r="G527" s="1" t="b">
        <v>0</v>
      </c>
      <c r="H527" s="1">
        <v>1</v>
      </c>
      <c r="I527" s="1">
        <v>1</v>
      </c>
      <c r="J527" s="1">
        <v>0.06</v>
      </c>
      <c r="K527" t="str">
        <f t="shared" si="24"/>
        <v>Weekday</v>
      </c>
      <c r="L527" t="str">
        <f t="shared" si="25"/>
        <v>Morning</v>
      </c>
      <c r="M527" t="str">
        <f t="shared" si="26"/>
        <v>Clear</v>
      </c>
      <c r="N527">
        <f>IFERROR(VLOOKUP(A527,Dataset2!A:Z,8,FALSE),"")</f>
        <v>1</v>
      </c>
    </row>
    <row r="528" spans="1:14" x14ac:dyDescent="0.25">
      <c r="A528" s="1">
        <v>527</v>
      </c>
      <c r="B528" s="2">
        <v>40567</v>
      </c>
      <c r="C528" s="1">
        <v>1</v>
      </c>
      <c r="D528" s="1">
        <v>0</v>
      </c>
      <c r="E528" s="1">
        <v>1</v>
      </c>
      <c r="F528" s="1">
        <v>1</v>
      </c>
      <c r="G528" s="1" t="b">
        <v>0</v>
      </c>
      <c r="H528" s="1">
        <v>1</v>
      </c>
      <c r="I528" s="1">
        <v>1</v>
      </c>
      <c r="J528" s="1">
        <v>0.04</v>
      </c>
      <c r="K528" t="str">
        <f t="shared" si="24"/>
        <v>Weekday</v>
      </c>
      <c r="L528" t="str">
        <f t="shared" si="25"/>
        <v>Morning</v>
      </c>
      <c r="M528" t="str">
        <f t="shared" si="26"/>
        <v>Clear</v>
      </c>
      <c r="N528">
        <f>IFERROR(VLOOKUP(A528,Dataset2!A:Z,8,FALSE),"")</f>
        <v>1</v>
      </c>
    </row>
    <row r="529" spans="1:14" x14ac:dyDescent="0.25">
      <c r="A529" s="1">
        <v>528</v>
      </c>
      <c r="B529" s="2">
        <v>40567</v>
      </c>
      <c r="C529" s="1">
        <v>1</v>
      </c>
      <c r="D529" s="1">
        <v>0</v>
      </c>
      <c r="E529" s="1">
        <v>1</v>
      </c>
      <c r="F529" s="1">
        <v>3</v>
      </c>
      <c r="G529" s="1" t="b">
        <v>0</v>
      </c>
      <c r="H529" s="1">
        <v>1</v>
      </c>
      <c r="I529" s="1">
        <v>1</v>
      </c>
      <c r="J529" s="1">
        <v>0.04</v>
      </c>
      <c r="K529" t="str">
        <f t="shared" si="24"/>
        <v>Weekday</v>
      </c>
      <c r="L529" t="str">
        <f t="shared" si="25"/>
        <v>Morning</v>
      </c>
      <c r="M529" t="str">
        <f t="shared" si="26"/>
        <v>Clear</v>
      </c>
      <c r="N529">
        <f>IFERROR(VLOOKUP(A529,Dataset2!A:Z,8,FALSE),"")</f>
        <v>1</v>
      </c>
    </row>
    <row r="530" spans="1:14" x14ac:dyDescent="0.25">
      <c r="A530" s="1">
        <v>529</v>
      </c>
      <c r="B530" s="2">
        <v>40567</v>
      </c>
      <c r="C530" s="1">
        <v>1</v>
      </c>
      <c r="D530" s="1">
        <v>0</v>
      </c>
      <c r="E530" s="1">
        <v>1</v>
      </c>
      <c r="F530" s="1">
        <v>4</v>
      </c>
      <c r="G530" s="1" t="b">
        <v>0</v>
      </c>
      <c r="H530" s="1">
        <v>1</v>
      </c>
      <c r="I530" s="1">
        <v>1</v>
      </c>
      <c r="J530" s="1">
        <v>0.02</v>
      </c>
      <c r="K530" t="str">
        <f t="shared" si="24"/>
        <v>Weekday</v>
      </c>
      <c r="L530" t="str">
        <f t="shared" si="25"/>
        <v>Morning</v>
      </c>
      <c r="M530" t="str">
        <f t="shared" si="26"/>
        <v>Clear</v>
      </c>
      <c r="N530">
        <f>IFERROR(VLOOKUP(A530,Dataset2!A:Z,8,FALSE),"")</f>
        <v>5</v>
      </c>
    </row>
    <row r="531" spans="1:14" x14ac:dyDescent="0.25">
      <c r="A531" s="1">
        <v>530</v>
      </c>
      <c r="B531" s="2">
        <v>40567</v>
      </c>
      <c r="C531" s="1">
        <v>1</v>
      </c>
      <c r="D531" s="1">
        <v>0</v>
      </c>
      <c r="E531" s="1">
        <v>1</v>
      </c>
      <c r="F531" s="1">
        <v>5</v>
      </c>
      <c r="G531" s="1" t="b">
        <v>0</v>
      </c>
      <c r="H531" s="1">
        <v>1</v>
      </c>
      <c r="I531" s="1">
        <v>1</v>
      </c>
      <c r="J531" s="1">
        <v>0.02</v>
      </c>
      <c r="K531" t="str">
        <f t="shared" si="24"/>
        <v>Weekday</v>
      </c>
      <c r="L531" t="str">
        <f t="shared" si="25"/>
        <v>Morning</v>
      </c>
      <c r="M531" t="str">
        <f t="shared" si="26"/>
        <v>Clear</v>
      </c>
      <c r="N531">
        <f>IFERROR(VLOOKUP(A531,Dataset2!A:Z,8,FALSE),"")</f>
        <v>15</v>
      </c>
    </row>
    <row r="532" spans="1:14" x14ac:dyDescent="0.25">
      <c r="A532" s="1">
        <v>531</v>
      </c>
      <c r="B532" s="2">
        <v>40567</v>
      </c>
      <c r="C532" s="1">
        <v>1</v>
      </c>
      <c r="D532" s="1">
        <v>0</v>
      </c>
      <c r="E532" s="1">
        <v>1</v>
      </c>
      <c r="F532" s="1">
        <v>6</v>
      </c>
      <c r="G532" s="1" t="b">
        <v>0</v>
      </c>
      <c r="H532" s="1">
        <v>1</v>
      </c>
      <c r="I532" s="1">
        <v>1</v>
      </c>
      <c r="J532" s="1">
        <v>0.02</v>
      </c>
      <c r="K532" t="str">
        <f t="shared" si="24"/>
        <v>Weekday</v>
      </c>
      <c r="L532" t="str">
        <f t="shared" si="25"/>
        <v>Morning</v>
      </c>
      <c r="M532" t="str">
        <f t="shared" si="26"/>
        <v>Clear</v>
      </c>
      <c r="N532">
        <f>IFERROR(VLOOKUP(A532,Dataset2!A:Z,8,FALSE),"")</f>
        <v>84</v>
      </c>
    </row>
    <row r="533" spans="1:14" x14ac:dyDescent="0.25">
      <c r="A533" s="1">
        <v>532</v>
      </c>
      <c r="B533" s="2">
        <v>40567</v>
      </c>
      <c r="C533" s="1">
        <v>1</v>
      </c>
      <c r="D533" s="1">
        <v>0</v>
      </c>
      <c r="E533" s="1">
        <v>1</v>
      </c>
      <c r="F533" s="1">
        <v>7</v>
      </c>
      <c r="G533" s="1" t="b">
        <v>0</v>
      </c>
      <c r="H533" s="1">
        <v>1</v>
      </c>
      <c r="I533" s="1">
        <v>1</v>
      </c>
      <c r="J533" s="1">
        <v>0.02</v>
      </c>
      <c r="K533" t="str">
        <f t="shared" si="24"/>
        <v>Weekday</v>
      </c>
      <c r="L533" t="str">
        <f t="shared" si="25"/>
        <v>Morning</v>
      </c>
      <c r="M533" t="str">
        <f t="shared" si="26"/>
        <v>Clear</v>
      </c>
      <c r="N533">
        <f>IFERROR(VLOOKUP(A533,Dataset2!A:Z,8,FALSE),"")</f>
        <v>177</v>
      </c>
    </row>
    <row r="534" spans="1:14" x14ac:dyDescent="0.25">
      <c r="A534" s="1">
        <v>533</v>
      </c>
      <c r="B534" s="2">
        <v>40567</v>
      </c>
      <c r="C534" s="1">
        <v>1</v>
      </c>
      <c r="D534" s="1">
        <v>0</v>
      </c>
      <c r="E534" s="1">
        <v>1</v>
      </c>
      <c r="F534" s="1">
        <v>8</v>
      </c>
      <c r="G534" s="1" t="b">
        <v>0</v>
      </c>
      <c r="H534" s="1">
        <v>1</v>
      </c>
      <c r="I534" s="1">
        <v>1</v>
      </c>
      <c r="J534" s="1">
        <v>0.04</v>
      </c>
      <c r="K534" t="str">
        <f t="shared" si="24"/>
        <v>Weekday</v>
      </c>
      <c r="L534" t="str">
        <f t="shared" si="25"/>
        <v>Morning</v>
      </c>
      <c r="M534" t="str">
        <f t="shared" si="26"/>
        <v>Clear</v>
      </c>
      <c r="N534">
        <f>IFERROR(VLOOKUP(A534,Dataset2!A:Z,8,FALSE),"")</f>
        <v>102</v>
      </c>
    </row>
    <row r="535" spans="1:14" x14ac:dyDescent="0.25">
      <c r="A535" s="1">
        <v>534</v>
      </c>
      <c r="B535" s="2">
        <v>40567</v>
      </c>
      <c r="C535" s="1">
        <v>1</v>
      </c>
      <c r="D535" s="1">
        <v>0</v>
      </c>
      <c r="E535" s="1">
        <v>1</v>
      </c>
      <c r="F535" s="1">
        <v>9</v>
      </c>
      <c r="G535" s="1" t="b">
        <v>0</v>
      </c>
      <c r="H535" s="1">
        <v>1</v>
      </c>
      <c r="I535" s="1">
        <v>1</v>
      </c>
      <c r="J535" s="1">
        <v>0.06</v>
      </c>
      <c r="K535" t="str">
        <f t="shared" si="24"/>
        <v>Weekday</v>
      </c>
      <c r="L535" t="str">
        <f t="shared" si="25"/>
        <v>Morning</v>
      </c>
      <c r="M535" t="str">
        <f t="shared" si="26"/>
        <v>Clear</v>
      </c>
      <c r="N535">
        <f>IFERROR(VLOOKUP(A535,Dataset2!A:Z,8,FALSE),"")</f>
        <v>40</v>
      </c>
    </row>
    <row r="536" spans="1:14" x14ac:dyDescent="0.25">
      <c r="A536" s="1">
        <v>535</v>
      </c>
      <c r="B536" s="2">
        <v>40567</v>
      </c>
      <c r="C536" s="1">
        <v>1</v>
      </c>
      <c r="D536" s="1">
        <v>0</v>
      </c>
      <c r="E536" s="1">
        <v>1</v>
      </c>
      <c r="F536" s="1">
        <v>10</v>
      </c>
      <c r="G536" s="1" t="b">
        <v>0</v>
      </c>
      <c r="H536" s="1">
        <v>1</v>
      </c>
      <c r="I536" s="1">
        <v>1</v>
      </c>
      <c r="J536" s="1">
        <v>0.1</v>
      </c>
      <c r="K536" t="str">
        <f t="shared" si="24"/>
        <v>Weekday</v>
      </c>
      <c r="L536" t="str">
        <f t="shared" si="25"/>
        <v>Morning</v>
      </c>
      <c r="M536" t="str">
        <f t="shared" si="26"/>
        <v>Clear</v>
      </c>
      <c r="N536">
        <f>IFERROR(VLOOKUP(A536,Dataset2!A:Z,8,FALSE),"")</f>
        <v>46</v>
      </c>
    </row>
    <row r="537" spans="1:14" x14ac:dyDescent="0.25">
      <c r="A537" s="1">
        <v>536</v>
      </c>
      <c r="B537" s="2">
        <v>40567</v>
      </c>
      <c r="C537" s="1">
        <v>1</v>
      </c>
      <c r="D537" s="1">
        <v>0</v>
      </c>
      <c r="E537" s="1">
        <v>1</v>
      </c>
      <c r="F537" s="1">
        <v>11</v>
      </c>
      <c r="G537" s="1" t="b">
        <v>0</v>
      </c>
      <c r="H537" s="1">
        <v>1</v>
      </c>
      <c r="I537" s="1">
        <v>1</v>
      </c>
      <c r="J537" s="1">
        <v>0.1</v>
      </c>
      <c r="K537" t="str">
        <f t="shared" si="24"/>
        <v>Weekday</v>
      </c>
      <c r="L537" t="str">
        <f t="shared" si="25"/>
        <v>Morning</v>
      </c>
      <c r="M537" t="str">
        <f t="shared" si="26"/>
        <v>Clear</v>
      </c>
      <c r="N537">
        <f>IFERROR(VLOOKUP(A537,Dataset2!A:Z,8,FALSE),"")</f>
        <v>63</v>
      </c>
    </row>
    <row r="538" spans="1:14" x14ac:dyDescent="0.25">
      <c r="A538" s="1">
        <v>537</v>
      </c>
      <c r="B538" s="2">
        <v>40567</v>
      </c>
      <c r="C538" s="1">
        <v>1</v>
      </c>
      <c r="D538" s="1">
        <v>0</v>
      </c>
      <c r="E538" s="1">
        <v>1</v>
      </c>
      <c r="F538" s="1">
        <v>12</v>
      </c>
      <c r="G538" s="1" t="b">
        <v>0</v>
      </c>
      <c r="H538" s="1">
        <v>1</v>
      </c>
      <c r="I538" s="1">
        <v>2</v>
      </c>
      <c r="J538" s="1">
        <v>0.12</v>
      </c>
      <c r="K538" t="str">
        <f t="shared" si="24"/>
        <v>Weekday</v>
      </c>
      <c r="L538" t="str">
        <f t="shared" si="25"/>
        <v>Afternoon</v>
      </c>
      <c r="M538" t="str">
        <f t="shared" si="26"/>
        <v>cloudy</v>
      </c>
      <c r="N538">
        <f>IFERROR(VLOOKUP(A538,Dataset2!A:Z,8,FALSE),"")</f>
        <v>60</v>
      </c>
    </row>
    <row r="539" spans="1:14" x14ac:dyDescent="0.25">
      <c r="A539" s="1">
        <v>538</v>
      </c>
      <c r="B539" s="2">
        <v>40567</v>
      </c>
      <c r="C539" s="1">
        <v>1</v>
      </c>
      <c r="D539" s="1">
        <v>0</v>
      </c>
      <c r="E539" s="1">
        <v>1</v>
      </c>
      <c r="F539" s="1">
        <v>13</v>
      </c>
      <c r="G539" s="1" t="b">
        <v>0</v>
      </c>
      <c r="H539" s="1">
        <v>1</v>
      </c>
      <c r="I539" s="1">
        <v>2</v>
      </c>
      <c r="J539" s="1">
        <v>0.14000000000000001</v>
      </c>
      <c r="K539" t="str">
        <f t="shared" si="24"/>
        <v>Weekday</v>
      </c>
      <c r="L539" t="str">
        <f t="shared" si="25"/>
        <v>Afternoon</v>
      </c>
      <c r="M539" t="str">
        <f t="shared" si="26"/>
        <v>cloudy</v>
      </c>
      <c r="N539">
        <f>IFERROR(VLOOKUP(A539,Dataset2!A:Z,8,FALSE),"")</f>
        <v>45</v>
      </c>
    </row>
    <row r="540" spans="1:14" x14ac:dyDescent="0.25">
      <c r="A540" s="1">
        <v>539</v>
      </c>
      <c r="B540" s="2">
        <v>40567</v>
      </c>
      <c r="C540" s="1">
        <v>1</v>
      </c>
      <c r="D540" s="1">
        <v>0</v>
      </c>
      <c r="E540" s="1">
        <v>1</v>
      </c>
      <c r="F540" s="1">
        <v>14</v>
      </c>
      <c r="G540" s="1" t="b">
        <v>0</v>
      </c>
      <c r="H540" s="1">
        <v>1</v>
      </c>
      <c r="I540" s="1">
        <v>2</v>
      </c>
      <c r="J540" s="1">
        <v>0.14000000000000001</v>
      </c>
      <c r="K540" t="str">
        <f t="shared" si="24"/>
        <v>Weekday</v>
      </c>
      <c r="L540" t="str">
        <f t="shared" si="25"/>
        <v>Afternoon</v>
      </c>
      <c r="M540" t="str">
        <f t="shared" si="26"/>
        <v>cloudy</v>
      </c>
      <c r="N540">
        <f>IFERROR(VLOOKUP(A540,Dataset2!A:Z,8,FALSE),"")</f>
        <v>57</v>
      </c>
    </row>
    <row r="541" spans="1:14" x14ac:dyDescent="0.25">
      <c r="A541" s="1">
        <v>540</v>
      </c>
      <c r="B541" s="2">
        <v>40567</v>
      </c>
      <c r="C541" s="1">
        <v>1</v>
      </c>
      <c r="D541" s="1">
        <v>0</v>
      </c>
      <c r="E541" s="1">
        <v>1</v>
      </c>
      <c r="F541" s="1">
        <v>15</v>
      </c>
      <c r="G541" s="1" t="b">
        <v>0</v>
      </c>
      <c r="H541" s="1">
        <v>1</v>
      </c>
      <c r="I541" s="1">
        <v>1</v>
      </c>
      <c r="J541" s="1">
        <v>0.16</v>
      </c>
      <c r="K541" t="str">
        <f t="shared" si="24"/>
        <v>Weekday</v>
      </c>
      <c r="L541" t="str">
        <f t="shared" si="25"/>
        <v>Afternoon</v>
      </c>
      <c r="M541" t="str">
        <f t="shared" si="26"/>
        <v>Clear</v>
      </c>
      <c r="N541">
        <f>IFERROR(VLOOKUP(A541,Dataset2!A:Z,8,FALSE),"")</f>
        <v>70</v>
      </c>
    </row>
    <row r="542" spans="1:14" x14ac:dyDescent="0.25">
      <c r="A542" s="1">
        <v>541</v>
      </c>
      <c r="B542" s="2">
        <v>40567</v>
      </c>
      <c r="C542" s="1">
        <v>1</v>
      </c>
      <c r="D542" s="1">
        <v>0</v>
      </c>
      <c r="E542" s="1">
        <v>1</v>
      </c>
      <c r="F542" s="1">
        <v>16</v>
      </c>
      <c r="G542" s="1" t="b">
        <v>0</v>
      </c>
      <c r="H542" s="1">
        <v>1</v>
      </c>
      <c r="I542" s="1">
        <v>1</v>
      </c>
      <c r="J542" s="1">
        <v>0.16</v>
      </c>
      <c r="K542" t="str">
        <f t="shared" si="24"/>
        <v>Weekday</v>
      </c>
      <c r="L542" t="str">
        <f t="shared" si="25"/>
        <v>Afternoon</v>
      </c>
      <c r="M542" t="str">
        <f t="shared" si="26"/>
        <v>Clear</v>
      </c>
      <c r="N542">
        <f>IFERROR(VLOOKUP(A542,Dataset2!A:Z,8,FALSE),"")</f>
        <v>184</v>
      </c>
    </row>
    <row r="543" spans="1:14" x14ac:dyDescent="0.25">
      <c r="A543" s="1">
        <v>542</v>
      </c>
      <c r="B543" s="2">
        <v>40567</v>
      </c>
      <c r="C543" s="1">
        <v>1</v>
      </c>
      <c r="D543" s="1">
        <v>0</v>
      </c>
      <c r="E543" s="1">
        <v>1</v>
      </c>
      <c r="F543" s="1">
        <v>17</v>
      </c>
      <c r="G543" s="1" t="b">
        <v>0</v>
      </c>
      <c r="H543" s="1">
        <v>1</v>
      </c>
      <c r="I543" s="1">
        <v>1</v>
      </c>
      <c r="J543" s="1">
        <v>0.14000000000000001</v>
      </c>
      <c r="K543" t="str">
        <f t="shared" si="24"/>
        <v>Weekday</v>
      </c>
      <c r="L543" t="str">
        <f t="shared" si="25"/>
        <v>Afternoon</v>
      </c>
      <c r="M543" t="str">
        <f t="shared" si="26"/>
        <v>Clear</v>
      </c>
      <c r="N543">
        <f>IFERROR(VLOOKUP(A543,Dataset2!A:Z,8,FALSE),"")</f>
        <v>153</v>
      </c>
    </row>
    <row r="544" spans="1:14" x14ac:dyDescent="0.25">
      <c r="A544" s="1">
        <v>543</v>
      </c>
      <c r="B544" s="2">
        <v>40567</v>
      </c>
      <c r="C544" s="1">
        <v>1</v>
      </c>
      <c r="D544" s="1">
        <v>0</v>
      </c>
      <c r="E544" s="1">
        <v>1</v>
      </c>
      <c r="F544" s="1">
        <v>18</v>
      </c>
      <c r="G544" s="1" t="b">
        <v>0</v>
      </c>
      <c r="H544" s="1">
        <v>1</v>
      </c>
      <c r="I544" s="1">
        <v>1</v>
      </c>
      <c r="J544" s="1">
        <v>0.14000000000000001</v>
      </c>
      <c r="K544" t="str">
        <f t="shared" si="24"/>
        <v>Weekday</v>
      </c>
      <c r="L544" t="str">
        <f t="shared" si="25"/>
        <v>Evening</v>
      </c>
      <c r="M544" t="str">
        <f t="shared" si="26"/>
        <v>Clear</v>
      </c>
      <c r="N544">
        <f>IFERROR(VLOOKUP(A544,Dataset2!A:Z,8,FALSE),"")</f>
        <v>106</v>
      </c>
    </row>
    <row r="545" spans="1:14" x14ac:dyDescent="0.25">
      <c r="A545" s="1">
        <v>544</v>
      </c>
      <c r="B545" s="2">
        <v>40567</v>
      </c>
      <c r="C545" s="1">
        <v>1</v>
      </c>
      <c r="D545" s="1">
        <v>0</v>
      </c>
      <c r="E545" s="1">
        <v>1</v>
      </c>
      <c r="F545" s="1">
        <v>19</v>
      </c>
      <c r="G545" s="1" t="b">
        <v>0</v>
      </c>
      <c r="H545" s="1">
        <v>1</v>
      </c>
      <c r="I545" s="1">
        <v>1</v>
      </c>
      <c r="J545" s="1">
        <v>0.14000000000000001</v>
      </c>
      <c r="K545" t="str">
        <f t="shared" si="24"/>
        <v>Weekday</v>
      </c>
      <c r="L545" t="str">
        <f t="shared" si="25"/>
        <v>Evening</v>
      </c>
      <c r="M545" t="str">
        <f t="shared" si="26"/>
        <v>Clear</v>
      </c>
      <c r="N545">
        <f>IFERROR(VLOOKUP(A545,Dataset2!A:Z,8,FALSE),"")</f>
        <v>81</v>
      </c>
    </row>
    <row r="546" spans="1:14" x14ac:dyDescent="0.25">
      <c r="A546" s="1">
        <v>545</v>
      </c>
      <c r="B546" s="2">
        <v>40567</v>
      </c>
      <c r="C546" s="1">
        <v>1</v>
      </c>
      <c r="D546" s="1">
        <v>0</v>
      </c>
      <c r="E546" s="1">
        <v>1</v>
      </c>
      <c r="F546" s="1">
        <v>20</v>
      </c>
      <c r="G546" s="1" t="b">
        <v>0</v>
      </c>
      <c r="H546" s="1">
        <v>1</v>
      </c>
      <c r="I546" s="1">
        <v>1</v>
      </c>
      <c r="J546" s="1">
        <v>0.14000000000000001</v>
      </c>
      <c r="K546" t="str">
        <f t="shared" si="24"/>
        <v>Weekday</v>
      </c>
      <c r="L546" t="str">
        <f t="shared" si="25"/>
        <v>Evening</v>
      </c>
      <c r="M546" t="str">
        <f t="shared" si="26"/>
        <v>Clear</v>
      </c>
      <c r="N546">
        <f>IFERROR(VLOOKUP(A546,Dataset2!A:Z,8,FALSE),"")</f>
        <v>59</v>
      </c>
    </row>
    <row r="547" spans="1:14" x14ac:dyDescent="0.25">
      <c r="A547" s="1">
        <v>546</v>
      </c>
      <c r="B547" s="2">
        <v>40567</v>
      </c>
      <c r="C547" s="1">
        <v>1</v>
      </c>
      <c r="D547" s="1">
        <v>0</v>
      </c>
      <c r="E547" s="1">
        <v>1</v>
      </c>
      <c r="F547" s="1">
        <v>21</v>
      </c>
      <c r="G547" s="1" t="b">
        <v>0</v>
      </c>
      <c r="H547" s="1">
        <v>1</v>
      </c>
      <c r="I547" s="1">
        <v>1</v>
      </c>
      <c r="J547" s="1">
        <v>0.14000000000000001</v>
      </c>
      <c r="K547" t="str">
        <f t="shared" si="24"/>
        <v>Weekday</v>
      </c>
      <c r="L547" t="str">
        <f t="shared" si="25"/>
        <v>Evening</v>
      </c>
      <c r="M547" t="str">
        <f t="shared" si="26"/>
        <v>Clear</v>
      </c>
      <c r="N547">
        <f>IFERROR(VLOOKUP(A547,Dataset2!A:Z,8,FALSE),"")</f>
        <v>35</v>
      </c>
    </row>
    <row r="548" spans="1:14" x14ac:dyDescent="0.25">
      <c r="A548" s="1">
        <v>547</v>
      </c>
      <c r="B548" s="2">
        <v>40567</v>
      </c>
      <c r="C548" s="1">
        <v>1</v>
      </c>
      <c r="D548" s="1">
        <v>0</v>
      </c>
      <c r="E548" s="1">
        <v>1</v>
      </c>
      <c r="F548" s="1">
        <v>22</v>
      </c>
      <c r="G548" s="1" t="b">
        <v>0</v>
      </c>
      <c r="H548" s="1">
        <v>1</v>
      </c>
      <c r="I548" s="1">
        <v>2</v>
      </c>
      <c r="J548" s="1">
        <v>0.14000000000000001</v>
      </c>
      <c r="K548" t="str">
        <f t="shared" si="24"/>
        <v>Weekday</v>
      </c>
      <c r="L548" t="str">
        <f t="shared" si="25"/>
        <v>Evening</v>
      </c>
      <c r="M548" t="str">
        <f t="shared" si="26"/>
        <v>cloudy</v>
      </c>
      <c r="N548">
        <f>IFERROR(VLOOKUP(A548,Dataset2!A:Z,8,FALSE),"")</f>
        <v>24</v>
      </c>
    </row>
    <row r="549" spans="1:14" x14ac:dyDescent="0.25">
      <c r="A549" s="1">
        <v>548</v>
      </c>
      <c r="B549" s="2">
        <v>40567</v>
      </c>
      <c r="C549" s="1">
        <v>1</v>
      </c>
      <c r="D549" s="1">
        <v>0</v>
      </c>
      <c r="E549" s="1">
        <v>1</v>
      </c>
      <c r="F549" s="1">
        <v>23</v>
      </c>
      <c r="G549" s="1" t="b">
        <v>0</v>
      </c>
      <c r="H549" s="1">
        <v>1</v>
      </c>
      <c r="I549" s="1">
        <v>2</v>
      </c>
      <c r="J549" s="1">
        <v>0.16</v>
      </c>
      <c r="K549" t="str">
        <f t="shared" si="24"/>
        <v>Weekday</v>
      </c>
      <c r="L549" t="str">
        <f t="shared" si="25"/>
        <v>Evening</v>
      </c>
      <c r="M549" t="str">
        <f t="shared" si="26"/>
        <v>cloudy</v>
      </c>
      <c r="N549">
        <f>IFERROR(VLOOKUP(A549,Dataset2!A:Z,8,FALSE),"")</f>
        <v>9</v>
      </c>
    </row>
    <row r="550" spans="1:14" x14ac:dyDescent="0.25">
      <c r="A550" s="1">
        <v>549</v>
      </c>
      <c r="B550" s="2">
        <v>40568</v>
      </c>
      <c r="C550" s="1">
        <v>1</v>
      </c>
      <c r="D550" s="1">
        <v>0</v>
      </c>
      <c r="E550" s="1">
        <v>1</v>
      </c>
      <c r="F550" s="1">
        <v>0</v>
      </c>
      <c r="G550" s="1" t="b">
        <v>0</v>
      </c>
      <c r="H550" s="1">
        <v>2</v>
      </c>
      <c r="I550" s="1">
        <v>2</v>
      </c>
      <c r="J550" s="1">
        <v>0.16</v>
      </c>
      <c r="K550" t="str">
        <f t="shared" si="24"/>
        <v>Weekday</v>
      </c>
      <c r="L550" t="str">
        <f t="shared" si="25"/>
        <v>Morning</v>
      </c>
      <c r="M550" t="str">
        <f t="shared" si="26"/>
        <v>cloudy</v>
      </c>
      <c r="N550">
        <f>IFERROR(VLOOKUP(A550,Dataset2!A:Z,8,FALSE),"")</f>
        <v>5</v>
      </c>
    </row>
    <row r="551" spans="1:14" x14ac:dyDescent="0.25">
      <c r="A551" s="1">
        <v>550</v>
      </c>
      <c r="B551" s="2">
        <v>40568</v>
      </c>
      <c r="C551" s="1">
        <v>1</v>
      </c>
      <c r="D551" s="1">
        <v>0</v>
      </c>
      <c r="E551" s="1">
        <v>1</v>
      </c>
      <c r="F551" s="1">
        <v>1</v>
      </c>
      <c r="G551" s="1" t="b">
        <v>0</v>
      </c>
      <c r="H551" s="1">
        <v>2</v>
      </c>
      <c r="I551" s="1">
        <v>2</v>
      </c>
      <c r="J551" s="1">
        <v>0.16</v>
      </c>
      <c r="K551" t="str">
        <f t="shared" si="24"/>
        <v>Weekday</v>
      </c>
      <c r="L551" t="str">
        <f t="shared" si="25"/>
        <v>Morning</v>
      </c>
      <c r="M551" t="str">
        <f t="shared" si="26"/>
        <v>cloudy</v>
      </c>
      <c r="N551">
        <f>IFERROR(VLOOKUP(A551,Dataset2!A:Z,8,FALSE),"")</f>
        <v>2</v>
      </c>
    </row>
    <row r="552" spans="1:14" x14ac:dyDescent="0.25">
      <c r="A552" s="1">
        <v>551</v>
      </c>
      <c r="B552" s="2">
        <v>40568</v>
      </c>
      <c r="C552" s="1">
        <v>1</v>
      </c>
      <c r="D552" s="1">
        <v>0</v>
      </c>
      <c r="E552" s="1">
        <v>1</v>
      </c>
      <c r="F552" s="1">
        <v>2</v>
      </c>
      <c r="G552" s="1" t="b">
        <v>0</v>
      </c>
      <c r="H552" s="1">
        <v>2</v>
      </c>
      <c r="I552" s="1">
        <v>1</v>
      </c>
      <c r="J552" s="1">
        <v>0.16</v>
      </c>
      <c r="K552" t="str">
        <f t="shared" si="24"/>
        <v>Weekday</v>
      </c>
      <c r="L552" t="str">
        <f t="shared" si="25"/>
        <v>Morning</v>
      </c>
      <c r="M552" t="str">
        <f t="shared" si="26"/>
        <v>Clear</v>
      </c>
      <c r="N552">
        <f>IFERROR(VLOOKUP(A552,Dataset2!A:Z,8,FALSE),"")</f>
        <v>1</v>
      </c>
    </row>
    <row r="553" spans="1:14" x14ac:dyDescent="0.25">
      <c r="A553" s="1">
        <v>552</v>
      </c>
      <c r="B553" s="2">
        <v>40568</v>
      </c>
      <c r="C553" s="1">
        <v>1</v>
      </c>
      <c r="D553" s="1">
        <v>0</v>
      </c>
      <c r="E553" s="1">
        <v>1</v>
      </c>
      <c r="F553" s="1">
        <v>4</v>
      </c>
      <c r="G553" s="1" t="b">
        <v>0</v>
      </c>
      <c r="H553" s="1">
        <v>2</v>
      </c>
      <c r="I553" s="1">
        <v>1</v>
      </c>
      <c r="J553" s="1">
        <v>0.14000000000000001</v>
      </c>
      <c r="K553" t="str">
        <f t="shared" si="24"/>
        <v>Weekday</v>
      </c>
      <c r="L553" t="str">
        <f t="shared" si="25"/>
        <v>Morning</v>
      </c>
      <c r="M553" t="str">
        <f t="shared" si="26"/>
        <v>Clear</v>
      </c>
      <c r="N553">
        <f>IFERROR(VLOOKUP(A553,Dataset2!A:Z,8,FALSE),"")</f>
        <v>9</v>
      </c>
    </row>
    <row r="554" spans="1:14" x14ac:dyDescent="0.25">
      <c r="A554" s="1">
        <v>553</v>
      </c>
      <c r="B554" s="2">
        <v>40568</v>
      </c>
      <c r="C554" s="1">
        <v>1</v>
      </c>
      <c r="D554" s="1">
        <v>0</v>
      </c>
      <c r="E554" s="1">
        <v>1</v>
      </c>
      <c r="F554" s="1">
        <v>5</v>
      </c>
      <c r="G554" s="1" t="b">
        <v>0</v>
      </c>
      <c r="H554" s="1">
        <v>2</v>
      </c>
      <c r="I554" s="1">
        <v>1</v>
      </c>
      <c r="J554" s="1">
        <v>0.14000000000000001</v>
      </c>
      <c r="K554" t="str">
        <f t="shared" si="24"/>
        <v>Weekday</v>
      </c>
      <c r="L554" t="str">
        <f t="shared" si="25"/>
        <v>Morning</v>
      </c>
      <c r="M554" t="str">
        <f t="shared" si="26"/>
        <v>Clear</v>
      </c>
      <c r="N554">
        <f>IFERROR(VLOOKUP(A554,Dataset2!A:Z,8,FALSE),"")</f>
        <v>36</v>
      </c>
    </row>
    <row r="555" spans="1:14" x14ac:dyDescent="0.25">
      <c r="A555" s="1">
        <v>554</v>
      </c>
      <c r="B555" s="2">
        <v>40568</v>
      </c>
      <c r="C555" s="1">
        <v>1</v>
      </c>
      <c r="D555" s="1">
        <v>0</v>
      </c>
      <c r="E555" s="1">
        <v>1</v>
      </c>
      <c r="F555" s="1">
        <v>6</v>
      </c>
      <c r="G555" s="1" t="b">
        <v>0</v>
      </c>
      <c r="H555" s="1">
        <v>2</v>
      </c>
      <c r="I555" s="1">
        <v>1</v>
      </c>
      <c r="J555" s="1">
        <v>0.16</v>
      </c>
      <c r="K555" t="str">
        <f t="shared" si="24"/>
        <v>Weekday</v>
      </c>
      <c r="L555" t="str">
        <f t="shared" si="25"/>
        <v>Morning</v>
      </c>
      <c r="M555" t="str">
        <f t="shared" si="26"/>
        <v>Clear</v>
      </c>
      <c r="N555">
        <f>IFERROR(VLOOKUP(A555,Dataset2!A:Z,8,FALSE),"")</f>
        <v>108</v>
      </c>
    </row>
    <row r="556" spans="1:14" x14ac:dyDescent="0.25">
      <c r="A556" s="1">
        <v>555</v>
      </c>
      <c r="B556" s="2">
        <v>40568</v>
      </c>
      <c r="C556" s="1">
        <v>1</v>
      </c>
      <c r="D556" s="1">
        <v>0</v>
      </c>
      <c r="E556" s="1">
        <v>1</v>
      </c>
      <c r="F556" s="1">
        <v>7</v>
      </c>
      <c r="G556" s="1" t="b">
        <v>0</v>
      </c>
      <c r="H556" s="1">
        <v>2</v>
      </c>
      <c r="I556" s="1">
        <v>1</v>
      </c>
      <c r="J556" s="1">
        <v>0.16</v>
      </c>
      <c r="K556" t="str">
        <f t="shared" si="24"/>
        <v>Weekday</v>
      </c>
      <c r="L556" t="str">
        <f t="shared" si="25"/>
        <v>Morning</v>
      </c>
      <c r="M556" t="str">
        <f t="shared" si="26"/>
        <v>Clear</v>
      </c>
      <c r="N556">
        <f>IFERROR(VLOOKUP(A556,Dataset2!A:Z,8,FALSE),"")</f>
        <v>238</v>
      </c>
    </row>
    <row r="557" spans="1:14" x14ac:dyDescent="0.25">
      <c r="A557" s="1">
        <v>556</v>
      </c>
      <c r="B557" s="2">
        <v>40568</v>
      </c>
      <c r="C557" s="1">
        <v>1</v>
      </c>
      <c r="D557" s="1">
        <v>0</v>
      </c>
      <c r="E557" s="1">
        <v>1</v>
      </c>
      <c r="F557" s="1">
        <v>8</v>
      </c>
      <c r="G557" s="1" t="b">
        <v>0</v>
      </c>
      <c r="H557" s="1">
        <v>2</v>
      </c>
      <c r="I557" s="1">
        <v>2</v>
      </c>
      <c r="J557" s="1">
        <v>0.16</v>
      </c>
      <c r="K557" t="str">
        <f t="shared" si="24"/>
        <v>Weekday</v>
      </c>
      <c r="L557" t="str">
        <f t="shared" si="25"/>
        <v>Morning</v>
      </c>
      <c r="M557" t="str">
        <f t="shared" si="26"/>
        <v>cloudy</v>
      </c>
      <c r="N557">
        <f>IFERROR(VLOOKUP(A557,Dataset2!A:Z,8,FALSE),"")</f>
        <v>144</v>
      </c>
    </row>
    <row r="558" spans="1:14" x14ac:dyDescent="0.25">
      <c r="A558" s="1">
        <v>557</v>
      </c>
      <c r="B558" s="2">
        <v>40568</v>
      </c>
      <c r="C558" s="1">
        <v>1</v>
      </c>
      <c r="D558" s="1">
        <v>0</v>
      </c>
      <c r="E558" s="1">
        <v>1</v>
      </c>
      <c r="F558" s="1">
        <v>9</v>
      </c>
      <c r="G558" s="1" t="b">
        <v>0</v>
      </c>
      <c r="H558" s="1">
        <v>2</v>
      </c>
      <c r="I558" s="1">
        <v>2</v>
      </c>
      <c r="J558" s="1">
        <v>0.2</v>
      </c>
      <c r="K558" t="str">
        <f t="shared" si="24"/>
        <v>Weekday</v>
      </c>
      <c r="L558" t="str">
        <f t="shared" si="25"/>
        <v>Morning</v>
      </c>
      <c r="M558" t="str">
        <f t="shared" si="26"/>
        <v>cloudy</v>
      </c>
      <c r="N558">
        <f>IFERROR(VLOOKUP(A558,Dataset2!A:Z,8,FALSE),"")</f>
        <v>55</v>
      </c>
    </row>
    <row r="559" spans="1:14" x14ac:dyDescent="0.25">
      <c r="A559" s="1">
        <v>558</v>
      </c>
      <c r="B559" s="2">
        <v>40568</v>
      </c>
      <c r="C559" s="1">
        <v>1</v>
      </c>
      <c r="D559" s="1">
        <v>0</v>
      </c>
      <c r="E559" s="1">
        <v>1</v>
      </c>
      <c r="F559" s="1">
        <v>10</v>
      </c>
      <c r="G559" s="1" t="b">
        <v>0</v>
      </c>
      <c r="H559" s="1">
        <v>2</v>
      </c>
      <c r="I559" s="1">
        <v>2</v>
      </c>
      <c r="J559" s="1">
        <v>0.22</v>
      </c>
      <c r="K559" t="str">
        <f t="shared" si="24"/>
        <v>Weekday</v>
      </c>
      <c r="L559" t="str">
        <f t="shared" si="25"/>
        <v>Morning</v>
      </c>
      <c r="M559" t="str">
        <f t="shared" si="26"/>
        <v>cloudy</v>
      </c>
      <c r="N559">
        <f>IFERROR(VLOOKUP(A559,Dataset2!A:Z,8,FALSE),"")</f>
        <v>61</v>
      </c>
    </row>
    <row r="560" spans="1:14" x14ac:dyDescent="0.25">
      <c r="A560" s="1">
        <v>559</v>
      </c>
      <c r="B560" s="2">
        <v>40568</v>
      </c>
      <c r="C560" s="1">
        <v>1</v>
      </c>
      <c r="D560" s="1">
        <v>0</v>
      </c>
      <c r="E560" s="1">
        <v>1</v>
      </c>
      <c r="F560" s="1">
        <v>11</v>
      </c>
      <c r="G560" s="1" t="b">
        <v>0</v>
      </c>
      <c r="H560" s="1">
        <v>2</v>
      </c>
      <c r="I560" s="1">
        <v>2</v>
      </c>
      <c r="J560" s="1">
        <v>0.24</v>
      </c>
      <c r="K560" t="str">
        <f t="shared" si="24"/>
        <v>Weekday</v>
      </c>
      <c r="L560" t="str">
        <f t="shared" si="25"/>
        <v>Morning</v>
      </c>
      <c r="M560" t="str">
        <f t="shared" si="26"/>
        <v>cloudy</v>
      </c>
      <c r="N560">
        <f>IFERROR(VLOOKUP(A560,Dataset2!A:Z,8,FALSE),"")</f>
        <v>106</v>
      </c>
    </row>
    <row r="561" spans="1:14" x14ac:dyDescent="0.25">
      <c r="A561" s="1">
        <v>560</v>
      </c>
      <c r="B561" s="2">
        <v>40568</v>
      </c>
      <c r="C561" s="1">
        <v>1</v>
      </c>
      <c r="D561" s="1">
        <v>0</v>
      </c>
      <c r="E561" s="1">
        <v>1</v>
      </c>
      <c r="F561" s="1">
        <v>12</v>
      </c>
      <c r="G561" s="1" t="b">
        <v>0</v>
      </c>
      <c r="H561" s="1">
        <v>2</v>
      </c>
      <c r="I561" s="1">
        <v>2</v>
      </c>
      <c r="J561" s="1">
        <v>0.26</v>
      </c>
      <c r="K561" t="str">
        <f t="shared" si="24"/>
        <v>Weekday</v>
      </c>
      <c r="L561" t="str">
        <f t="shared" si="25"/>
        <v>Afternoon</v>
      </c>
      <c r="M561" t="str">
        <f t="shared" si="26"/>
        <v>cloudy</v>
      </c>
      <c r="N561">
        <f>IFERROR(VLOOKUP(A561,Dataset2!A:Z,8,FALSE),"")</f>
        <v>93</v>
      </c>
    </row>
    <row r="562" spans="1:14" x14ac:dyDescent="0.25">
      <c r="A562" s="1">
        <v>561</v>
      </c>
      <c r="B562" s="2">
        <v>40568</v>
      </c>
      <c r="C562" s="1">
        <v>1</v>
      </c>
      <c r="D562" s="1">
        <v>0</v>
      </c>
      <c r="E562" s="1">
        <v>1</v>
      </c>
      <c r="F562" s="1">
        <v>13</v>
      </c>
      <c r="G562" s="1" t="b">
        <v>0</v>
      </c>
      <c r="H562" s="1">
        <v>2</v>
      </c>
      <c r="I562" s="1">
        <v>2</v>
      </c>
      <c r="J562" s="1">
        <v>0.26</v>
      </c>
      <c r="K562" t="str">
        <f t="shared" si="24"/>
        <v>Weekday</v>
      </c>
      <c r="L562" t="str">
        <f t="shared" si="25"/>
        <v>Afternoon</v>
      </c>
      <c r="M562" t="str">
        <f t="shared" si="26"/>
        <v>cloudy</v>
      </c>
      <c r="N562">
        <f>IFERROR(VLOOKUP(A562,Dataset2!A:Z,8,FALSE),"")</f>
        <v>68</v>
      </c>
    </row>
    <row r="563" spans="1:14" x14ac:dyDescent="0.25">
      <c r="A563" s="1">
        <v>562</v>
      </c>
      <c r="B563" s="2">
        <v>40568</v>
      </c>
      <c r="C563" s="1">
        <v>1</v>
      </c>
      <c r="D563" s="1">
        <v>0</v>
      </c>
      <c r="E563" s="1">
        <v>1</v>
      </c>
      <c r="F563" s="1">
        <v>14</v>
      </c>
      <c r="G563" s="1" t="b">
        <v>0</v>
      </c>
      <c r="H563" s="1">
        <v>2</v>
      </c>
      <c r="I563" s="1">
        <v>2</v>
      </c>
      <c r="J563" s="1">
        <v>0.3</v>
      </c>
      <c r="K563" t="str">
        <f t="shared" si="24"/>
        <v>Weekday</v>
      </c>
      <c r="L563" t="str">
        <f t="shared" si="25"/>
        <v>Afternoon</v>
      </c>
      <c r="M563" t="str">
        <f t="shared" si="26"/>
        <v>cloudy</v>
      </c>
      <c r="N563">
        <f>IFERROR(VLOOKUP(A563,Dataset2!A:Z,8,FALSE),"")</f>
        <v>84</v>
      </c>
    </row>
    <row r="564" spans="1:14" x14ac:dyDescent="0.25">
      <c r="A564" s="1">
        <v>563</v>
      </c>
      <c r="B564" s="2">
        <v>40568</v>
      </c>
      <c r="C564" s="1">
        <v>1</v>
      </c>
      <c r="D564" s="1">
        <v>0</v>
      </c>
      <c r="E564" s="1">
        <v>1</v>
      </c>
      <c r="F564" s="1">
        <v>15</v>
      </c>
      <c r="G564" s="1" t="b">
        <v>0</v>
      </c>
      <c r="H564" s="1">
        <v>2</v>
      </c>
      <c r="I564" s="1">
        <v>2</v>
      </c>
      <c r="J564" s="1">
        <v>0.32</v>
      </c>
      <c r="K564" t="str">
        <f t="shared" si="24"/>
        <v>Weekday</v>
      </c>
      <c r="L564" t="str">
        <f t="shared" si="25"/>
        <v>Afternoon</v>
      </c>
      <c r="M564" t="str">
        <f t="shared" si="26"/>
        <v>cloudy</v>
      </c>
      <c r="N564">
        <f>IFERROR(VLOOKUP(A564,Dataset2!A:Z,8,FALSE),"")</f>
        <v>116</v>
      </c>
    </row>
    <row r="565" spans="1:14" x14ac:dyDescent="0.25">
      <c r="A565" s="1">
        <v>564</v>
      </c>
      <c r="B565" s="2">
        <v>40568</v>
      </c>
      <c r="C565" s="1">
        <v>1</v>
      </c>
      <c r="D565" s="1">
        <v>0</v>
      </c>
      <c r="E565" s="1">
        <v>1</v>
      </c>
      <c r="F565" s="1">
        <v>16</v>
      </c>
      <c r="G565" s="1" t="b">
        <v>0</v>
      </c>
      <c r="H565" s="1">
        <v>2</v>
      </c>
      <c r="I565" s="1">
        <v>2</v>
      </c>
      <c r="J565" s="1">
        <v>0.32</v>
      </c>
      <c r="K565" t="str">
        <f t="shared" si="24"/>
        <v>Weekday</v>
      </c>
      <c r="L565" t="str">
        <f t="shared" si="25"/>
        <v>Afternoon</v>
      </c>
      <c r="M565" t="str">
        <f t="shared" si="26"/>
        <v>cloudy</v>
      </c>
      <c r="N565">
        <f>IFERROR(VLOOKUP(A565,Dataset2!A:Z,8,FALSE),"")</f>
        <v>222</v>
      </c>
    </row>
    <row r="566" spans="1:14" x14ac:dyDescent="0.25">
      <c r="A566" s="1">
        <v>565</v>
      </c>
      <c r="B566" s="2">
        <v>40568</v>
      </c>
      <c r="C566" s="1">
        <v>1</v>
      </c>
      <c r="D566" s="1">
        <v>0</v>
      </c>
      <c r="E566" s="1">
        <v>1</v>
      </c>
      <c r="F566" s="1">
        <v>17</v>
      </c>
      <c r="G566" s="1" t="b">
        <v>0</v>
      </c>
      <c r="H566" s="1">
        <v>2</v>
      </c>
      <c r="I566" s="1">
        <v>1</v>
      </c>
      <c r="J566" s="1">
        <v>0.3</v>
      </c>
      <c r="K566" t="str">
        <f t="shared" si="24"/>
        <v>Weekday</v>
      </c>
      <c r="L566" t="str">
        <f t="shared" si="25"/>
        <v>Afternoon</v>
      </c>
      <c r="M566" t="str">
        <f t="shared" si="26"/>
        <v>Clear</v>
      </c>
      <c r="N566">
        <f>IFERROR(VLOOKUP(A566,Dataset2!A:Z,8,FALSE),"")</f>
        <v>225</v>
      </c>
    </row>
    <row r="567" spans="1:14" x14ac:dyDescent="0.25">
      <c r="A567" s="1">
        <v>566</v>
      </c>
      <c r="B567" s="2">
        <v>40568</v>
      </c>
      <c r="C567" s="1">
        <v>1</v>
      </c>
      <c r="D567" s="1">
        <v>0</v>
      </c>
      <c r="E567" s="1">
        <v>1</v>
      </c>
      <c r="F567" s="1">
        <v>18</v>
      </c>
      <c r="G567" s="1" t="b">
        <v>0</v>
      </c>
      <c r="H567" s="1">
        <v>2</v>
      </c>
      <c r="I567" s="1">
        <v>2</v>
      </c>
      <c r="J567" s="1">
        <v>0.3</v>
      </c>
      <c r="K567" t="str">
        <f t="shared" si="24"/>
        <v>Weekday</v>
      </c>
      <c r="L567" t="str">
        <f t="shared" si="25"/>
        <v>Evening</v>
      </c>
      <c r="M567" t="str">
        <f t="shared" si="26"/>
        <v>cloudy</v>
      </c>
      <c r="N567">
        <f>IFERROR(VLOOKUP(A567,Dataset2!A:Z,8,FALSE),"")</f>
        <v>146</v>
      </c>
    </row>
    <row r="568" spans="1:14" x14ac:dyDescent="0.25">
      <c r="A568" s="1">
        <v>567</v>
      </c>
      <c r="B568" s="2">
        <v>40568</v>
      </c>
      <c r="C568" s="1">
        <v>1</v>
      </c>
      <c r="D568" s="1">
        <v>0</v>
      </c>
      <c r="E568" s="1">
        <v>1</v>
      </c>
      <c r="F568" s="1">
        <v>19</v>
      </c>
      <c r="G568" s="1" t="b">
        <v>0</v>
      </c>
      <c r="H568" s="1">
        <v>2</v>
      </c>
      <c r="I568" s="1">
        <v>2</v>
      </c>
      <c r="J568" s="1">
        <v>0.26</v>
      </c>
      <c r="K568" t="str">
        <f t="shared" si="24"/>
        <v>Weekday</v>
      </c>
      <c r="L568" t="str">
        <f t="shared" si="25"/>
        <v>Evening</v>
      </c>
      <c r="M568" t="str">
        <f t="shared" si="26"/>
        <v>cloudy</v>
      </c>
      <c r="N568">
        <f>IFERROR(VLOOKUP(A568,Dataset2!A:Z,8,FALSE),"")</f>
        <v>119</v>
      </c>
    </row>
    <row r="569" spans="1:14" x14ac:dyDescent="0.25">
      <c r="A569" s="1">
        <v>568</v>
      </c>
      <c r="B569" s="2">
        <v>40568</v>
      </c>
      <c r="C569" s="1">
        <v>1</v>
      </c>
      <c r="D569" s="1">
        <v>0</v>
      </c>
      <c r="E569" s="1">
        <v>1</v>
      </c>
      <c r="F569" s="1">
        <v>20</v>
      </c>
      <c r="G569" s="1" t="b">
        <v>0</v>
      </c>
      <c r="H569" s="1">
        <v>2</v>
      </c>
      <c r="I569" s="1">
        <v>1</v>
      </c>
      <c r="J569" s="1">
        <v>0.24</v>
      </c>
      <c r="K569" t="str">
        <f t="shared" si="24"/>
        <v>Weekday</v>
      </c>
      <c r="L569" t="str">
        <f t="shared" si="25"/>
        <v>Evening</v>
      </c>
      <c r="M569" t="str">
        <f t="shared" si="26"/>
        <v>Clear</v>
      </c>
      <c r="N569">
        <f>IFERROR(VLOOKUP(A569,Dataset2!A:Z,8,FALSE),"")</f>
        <v>45</v>
      </c>
    </row>
    <row r="570" spans="1:14" x14ac:dyDescent="0.25">
      <c r="A570" s="1">
        <v>569</v>
      </c>
      <c r="B570" s="2">
        <v>40568</v>
      </c>
      <c r="C570" s="1">
        <v>1</v>
      </c>
      <c r="D570" s="1">
        <v>0</v>
      </c>
      <c r="E570" s="1">
        <v>1</v>
      </c>
      <c r="F570" s="1">
        <v>21</v>
      </c>
      <c r="G570" s="1" t="b">
        <v>0</v>
      </c>
      <c r="H570" s="1">
        <v>2</v>
      </c>
      <c r="I570" s="1">
        <v>1</v>
      </c>
      <c r="J570" s="1">
        <v>0.24</v>
      </c>
      <c r="K570" t="str">
        <f t="shared" si="24"/>
        <v>Weekday</v>
      </c>
      <c r="L570" t="str">
        <f t="shared" si="25"/>
        <v>Evening</v>
      </c>
      <c r="M570" t="str">
        <f t="shared" si="26"/>
        <v>Clear</v>
      </c>
      <c r="N570">
        <f>IFERROR(VLOOKUP(A570,Dataset2!A:Z,8,FALSE),"")</f>
        <v>53</v>
      </c>
    </row>
    <row r="571" spans="1:14" x14ac:dyDescent="0.25">
      <c r="A571" s="1">
        <v>570</v>
      </c>
      <c r="B571" s="2">
        <v>40568</v>
      </c>
      <c r="C571" s="1">
        <v>1</v>
      </c>
      <c r="D571" s="1">
        <v>0</v>
      </c>
      <c r="E571" s="1">
        <v>1</v>
      </c>
      <c r="F571" s="1">
        <v>22</v>
      </c>
      <c r="G571" s="1" t="b">
        <v>0</v>
      </c>
      <c r="H571" s="1">
        <v>2</v>
      </c>
      <c r="I571" s="1">
        <v>1</v>
      </c>
      <c r="J571" s="1">
        <v>0.22</v>
      </c>
      <c r="K571" t="str">
        <f t="shared" si="24"/>
        <v>Weekday</v>
      </c>
      <c r="L571" t="str">
        <f t="shared" si="25"/>
        <v>Evening</v>
      </c>
      <c r="M571" t="str">
        <f t="shared" si="26"/>
        <v>Clear</v>
      </c>
      <c r="N571">
        <f>IFERROR(VLOOKUP(A571,Dataset2!A:Z,8,FALSE),"")</f>
        <v>40</v>
      </c>
    </row>
    <row r="572" spans="1:14" x14ac:dyDescent="0.25">
      <c r="A572" s="1">
        <v>571</v>
      </c>
      <c r="B572" s="2">
        <v>40568</v>
      </c>
      <c r="C572" s="1">
        <v>1</v>
      </c>
      <c r="D572" s="1">
        <v>0</v>
      </c>
      <c r="E572" s="1">
        <v>1</v>
      </c>
      <c r="F572" s="1">
        <v>23</v>
      </c>
      <c r="G572" s="1" t="b">
        <v>0</v>
      </c>
      <c r="H572" s="1">
        <v>2</v>
      </c>
      <c r="I572" s="1">
        <v>2</v>
      </c>
      <c r="J572" s="1">
        <v>0.22</v>
      </c>
      <c r="K572" t="str">
        <f t="shared" si="24"/>
        <v>Weekday</v>
      </c>
      <c r="L572" t="str">
        <f t="shared" si="25"/>
        <v>Evening</v>
      </c>
      <c r="M572" t="str">
        <f t="shared" si="26"/>
        <v>cloudy</v>
      </c>
      <c r="N572">
        <f>IFERROR(VLOOKUP(A572,Dataset2!A:Z,8,FALSE),"")</f>
        <v>17</v>
      </c>
    </row>
    <row r="573" spans="1:14" x14ac:dyDescent="0.25">
      <c r="A573" s="1">
        <v>572</v>
      </c>
      <c r="B573" s="2">
        <v>40569</v>
      </c>
      <c r="C573" s="1">
        <v>1</v>
      </c>
      <c r="D573" s="1">
        <v>0</v>
      </c>
      <c r="E573" s="1">
        <v>1</v>
      </c>
      <c r="F573" s="1">
        <v>0</v>
      </c>
      <c r="G573" s="1" t="b">
        <v>0</v>
      </c>
      <c r="H573" s="1">
        <v>3</v>
      </c>
      <c r="I573" s="1">
        <v>2</v>
      </c>
      <c r="J573" s="1">
        <v>0.22</v>
      </c>
      <c r="K573" t="str">
        <f t="shared" si="24"/>
        <v>Weekday</v>
      </c>
      <c r="L573" t="str">
        <f t="shared" si="25"/>
        <v>Morning</v>
      </c>
      <c r="M573" t="str">
        <f t="shared" si="26"/>
        <v>cloudy</v>
      </c>
      <c r="N573">
        <f>IFERROR(VLOOKUP(A573,Dataset2!A:Z,8,FALSE),"")</f>
        <v>5</v>
      </c>
    </row>
    <row r="574" spans="1:14" x14ac:dyDescent="0.25">
      <c r="A574" s="1">
        <v>573</v>
      </c>
      <c r="B574" s="2">
        <v>40569</v>
      </c>
      <c r="C574" s="1">
        <v>1</v>
      </c>
      <c r="D574" s="1">
        <v>0</v>
      </c>
      <c r="E574" s="1">
        <v>1</v>
      </c>
      <c r="F574" s="1">
        <v>1</v>
      </c>
      <c r="G574" s="1" t="b">
        <v>0</v>
      </c>
      <c r="H574" s="1">
        <v>3</v>
      </c>
      <c r="I574" s="1">
        <v>2</v>
      </c>
      <c r="J574" s="1">
        <v>0.24</v>
      </c>
      <c r="K574" t="str">
        <f t="shared" si="24"/>
        <v>Weekday</v>
      </c>
      <c r="L574" t="str">
        <f t="shared" si="25"/>
        <v>Morning</v>
      </c>
      <c r="M574" t="str">
        <f t="shared" si="26"/>
        <v>cloudy</v>
      </c>
      <c r="N574">
        <f>IFERROR(VLOOKUP(A574,Dataset2!A:Z,8,FALSE),"")</f>
        <v>10</v>
      </c>
    </row>
    <row r="575" spans="1:14" x14ac:dyDescent="0.25">
      <c r="A575" s="1">
        <v>574</v>
      </c>
      <c r="B575" s="2">
        <v>40569</v>
      </c>
      <c r="C575" s="1">
        <v>1</v>
      </c>
      <c r="D575" s="1">
        <v>0</v>
      </c>
      <c r="E575" s="1">
        <v>1</v>
      </c>
      <c r="F575" s="1">
        <v>2</v>
      </c>
      <c r="G575" s="1" t="b">
        <v>0</v>
      </c>
      <c r="H575" s="1">
        <v>3</v>
      </c>
      <c r="I575" s="1">
        <v>3</v>
      </c>
      <c r="J575" s="1">
        <v>0.22</v>
      </c>
      <c r="K575" t="str">
        <f t="shared" si="24"/>
        <v>Weekday</v>
      </c>
      <c r="L575" t="str">
        <f t="shared" si="25"/>
        <v>Morning</v>
      </c>
      <c r="M575" t="str">
        <f t="shared" si="26"/>
        <v>Rain</v>
      </c>
      <c r="N575">
        <f>IFERROR(VLOOKUP(A575,Dataset2!A:Z,8,FALSE),"")</f>
        <v>1</v>
      </c>
    </row>
    <row r="576" spans="1:14" x14ac:dyDescent="0.25">
      <c r="A576" s="1">
        <v>575</v>
      </c>
      <c r="B576" s="2">
        <v>40569</v>
      </c>
      <c r="C576" s="1">
        <v>1</v>
      </c>
      <c r="D576" s="1">
        <v>0</v>
      </c>
      <c r="E576" s="1">
        <v>1</v>
      </c>
      <c r="F576" s="1">
        <v>5</v>
      </c>
      <c r="G576" s="1" t="b">
        <v>0</v>
      </c>
      <c r="H576" s="1">
        <v>3</v>
      </c>
      <c r="I576" s="1">
        <v>3</v>
      </c>
      <c r="J576" s="1">
        <v>0.2</v>
      </c>
      <c r="K576" t="str">
        <f t="shared" si="24"/>
        <v>Weekday</v>
      </c>
      <c r="L576" t="str">
        <f t="shared" si="25"/>
        <v>Morning</v>
      </c>
      <c r="M576" t="str">
        <f t="shared" si="26"/>
        <v>Rain</v>
      </c>
      <c r="N576">
        <f>IFERROR(VLOOKUP(A576,Dataset2!A:Z,8,FALSE),"")</f>
        <v>8</v>
      </c>
    </row>
    <row r="577" spans="1:14" x14ac:dyDescent="0.25">
      <c r="A577" s="1">
        <v>576</v>
      </c>
      <c r="B577" s="2">
        <v>40569</v>
      </c>
      <c r="C577" s="1">
        <v>1</v>
      </c>
      <c r="D577" s="1">
        <v>0</v>
      </c>
      <c r="E577" s="1">
        <v>1</v>
      </c>
      <c r="F577" s="1">
        <v>6</v>
      </c>
      <c r="G577" s="1" t="b">
        <v>0</v>
      </c>
      <c r="H577" s="1">
        <v>3</v>
      </c>
      <c r="I577" s="1">
        <v>3</v>
      </c>
      <c r="J577" s="1">
        <v>0.2</v>
      </c>
      <c r="K577" t="str">
        <f t="shared" si="24"/>
        <v>Weekday</v>
      </c>
      <c r="L577" t="str">
        <f t="shared" si="25"/>
        <v>Morning</v>
      </c>
      <c r="M577" t="str">
        <f t="shared" si="26"/>
        <v>Rain</v>
      </c>
      <c r="N577">
        <f>IFERROR(VLOOKUP(A577,Dataset2!A:Z,8,FALSE),"")</f>
        <v>30</v>
      </c>
    </row>
    <row r="578" spans="1:14" x14ac:dyDescent="0.25">
      <c r="A578" s="1">
        <v>577</v>
      </c>
      <c r="B578" s="2">
        <v>40569</v>
      </c>
      <c r="C578" s="1">
        <v>1</v>
      </c>
      <c r="D578" s="1">
        <v>0</v>
      </c>
      <c r="E578" s="1">
        <v>1</v>
      </c>
      <c r="F578" s="1">
        <v>7</v>
      </c>
      <c r="G578" s="1" t="b">
        <v>0</v>
      </c>
      <c r="H578" s="1">
        <v>3</v>
      </c>
      <c r="I578" s="1">
        <v>3</v>
      </c>
      <c r="J578" s="1">
        <v>0.22</v>
      </c>
      <c r="K578" t="str">
        <f t="shared" si="24"/>
        <v>Weekday</v>
      </c>
      <c r="L578" t="str">
        <f t="shared" si="25"/>
        <v>Morning</v>
      </c>
      <c r="M578" t="str">
        <f t="shared" si="26"/>
        <v>Rain</v>
      </c>
      <c r="N578">
        <f>IFERROR(VLOOKUP(A578,Dataset2!A:Z,8,FALSE),"")</f>
        <v>72</v>
      </c>
    </row>
    <row r="579" spans="1:14" x14ac:dyDescent="0.25">
      <c r="A579" s="1">
        <v>578</v>
      </c>
      <c r="B579" s="2">
        <v>40569</v>
      </c>
      <c r="C579" s="1">
        <v>1</v>
      </c>
      <c r="D579" s="1">
        <v>0</v>
      </c>
      <c r="E579" s="1">
        <v>1</v>
      </c>
      <c r="F579" s="1">
        <v>8</v>
      </c>
      <c r="G579" s="1" t="b">
        <v>0</v>
      </c>
      <c r="H579" s="1">
        <v>3</v>
      </c>
      <c r="I579" s="1">
        <v>3</v>
      </c>
      <c r="J579" s="1">
        <v>0.22</v>
      </c>
      <c r="K579" t="str">
        <f t="shared" ref="K579:K611" si="27">IF(OR(H579=0,H579=6),"Weekend","Weekday")</f>
        <v>Weekday</v>
      </c>
      <c r="L579" t="str">
        <f t="shared" ref="L579:L611" si="28">IF(F579&lt;12,"Morning",IF(F579&lt;18,"Afternoon","Evening"))</f>
        <v>Morning</v>
      </c>
      <c r="M579" t="str">
        <f t="shared" ref="M579:M611" si="29">IF(I579=1,"Clear",IF(I579=2,"cloudy",IF(I579=3,"Rain","Heavy Rain")))</f>
        <v>Rain</v>
      </c>
      <c r="N579">
        <f>IFERROR(VLOOKUP(A579,Dataset2!A:Z,8,FALSE),"")</f>
        <v>58</v>
      </c>
    </row>
    <row r="580" spans="1:14" x14ac:dyDescent="0.25">
      <c r="A580" s="1">
        <v>579</v>
      </c>
      <c r="B580" s="2">
        <v>40569</v>
      </c>
      <c r="C580" s="1">
        <v>1</v>
      </c>
      <c r="D580" s="1">
        <v>0</v>
      </c>
      <c r="E580" s="1">
        <v>1</v>
      </c>
      <c r="F580" s="1">
        <v>9</v>
      </c>
      <c r="G580" s="1" t="b">
        <v>0</v>
      </c>
      <c r="H580" s="1">
        <v>3</v>
      </c>
      <c r="I580" s="1">
        <v>3</v>
      </c>
      <c r="J580" s="1">
        <v>0.22</v>
      </c>
      <c r="K580" t="str">
        <f t="shared" si="27"/>
        <v>Weekday</v>
      </c>
      <c r="L580" t="str">
        <f t="shared" si="28"/>
        <v>Morning</v>
      </c>
      <c r="M580" t="str">
        <f t="shared" si="29"/>
        <v>Rain</v>
      </c>
      <c r="N580">
        <f>IFERROR(VLOOKUP(A580,Dataset2!A:Z,8,FALSE),"")</f>
        <v>28</v>
      </c>
    </row>
    <row r="581" spans="1:14" x14ac:dyDescent="0.25">
      <c r="A581" s="1">
        <v>580</v>
      </c>
      <c r="B581" s="2">
        <v>40569</v>
      </c>
      <c r="C581" s="1">
        <v>1</v>
      </c>
      <c r="D581" s="1">
        <v>0</v>
      </c>
      <c r="E581" s="1">
        <v>1</v>
      </c>
      <c r="F581" s="1">
        <v>10</v>
      </c>
      <c r="G581" s="1" t="b">
        <v>0</v>
      </c>
      <c r="H581" s="1">
        <v>3</v>
      </c>
      <c r="I581" s="1">
        <v>3</v>
      </c>
      <c r="J581" s="1">
        <v>0.22</v>
      </c>
      <c r="K581" t="str">
        <f t="shared" si="27"/>
        <v>Weekday</v>
      </c>
      <c r="L581" t="str">
        <f t="shared" si="28"/>
        <v>Morning</v>
      </c>
      <c r="M581" t="str">
        <f t="shared" si="29"/>
        <v>Rain</v>
      </c>
      <c r="N581">
        <f>IFERROR(VLOOKUP(A581,Dataset2!A:Z,8,FALSE),"")</f>
        <v>41</v>
      </c>
    </row>
    <row r="582" spans="1:14" x14ac:dyDescent="0.25">
      <c r="A582" s="1">
        <v>581</v>
      </c>
      <c r="B582" s="2">
        <v>40569</v>
      </c>
      <c r="C582" s="1">
        <v>1</v>
      </c>
      <c r="D582" s="1">
        <v>0</v>
      </c>
      <c r="E582" s="1">
        <v>1</v>
      </c>
      <c r="F582" s="1">
        <v>11</v>
      </c>
      <c r="G582" s="1" t="b">
        <v>0</v>
      </c>
      <c r="H582" s="1">
        <v>3</v>
      </c>
      <c r="I582" s="1">
        <v>3</v>
      </c>
      <c r="J582" s="1">
        <v>0.22</v>
      </c>
      <c r="K582" t="str">
        <f t="shared" si="27"/>
        <v>Weekday</v>
      </c>
      <c r="L582" t="str">
        <f t="shared" si="28"/>
        <v>Morning</v>
      </c>
      <c r="M582" t="str">
        <f t="shared" si="29"/>
        <v>Rain</v>
      </c>
      <c r="N582">
        <f>IFERROR(VLOOKUP(A582,Dataset2!A:Z,8,FALSE),"")</f>
        <v>48</v>
      </c>
    </row>
    <row r="583" spans="1:14" x14ac:dyDescent="0.25">
      <c r="A583" s="1">
        <v>582</v>
      </c>
      <c r="B583" s="2">
        <v>40569</v>
      </c>
      <c r="C583" s="1">
        <v>1</v>
      </c>
      <c r="D583" s="1">
        <v>0</v>
      </c>
      <c r="E583" s="1">
        <v>1</v>
      </c>
      <c r="F583" s="1">
        <v>12</v>
      </c>
      <c r="G583" s="1" t="b">
        <v>0</v>
      </c>
      <c r="H583" s="1">
        <v>3</v>
      </c>
      <c r="I583" s="1">
        <v>3</v>
      </c>
      <c r="J583" s="1">
        <v>0.22</v>
      </c>
      <c r="K583" t="str">
        <f t="shared" si="27"/>
        <v>Weekday</v>
      </c>
      <c r="L583" t="str">
        <f t="shared" si="28"/>
        <v>Afternoon</v>
      </c>
      <c r="M583" t="str">
        <f t="shared" si="29"/>
        <v>Rain</v>
      </c>
      <c r="N583">
        <f>IFERROR(VLOOKUP(A583,Dataset2!A:Z,8,FALSE),"")</f>
        <v>47</v>
      </c>
    </row>
    <row r="584" spans="1:14" x14ac:dyDescent="0.25">
      <c r="A584" s="1">
        <v>583</v>
      </c>
      <c r="B584" s="2">
        <v>40569</v>
      </c>
      <c r="C584" s="1">
        <v>1</v>
      </c>
      <c r="D584" s="1">
        <v>0</v>
      </c>
      <c r="E584" s="1">
        <v>1</v>
      </c>
      <c r="F584" s="1">
        <v>13</v>
      </c>
      <c r="G584" s="1" t="b">
        <v>0</v>
      </c>
      <c r="H584" s="1">
        <v>3</v>
      </c>
      <c r="I584" s="1">
        <v>3</v>
      </c>
      <c r="J584" s="1">
        <v>0.22</v>
      </c>
      <c r="K584" t="str">
        <f t="shared" si="27"/>
        <v>Weekday</v>
      </c>
      <c r="L584" t="str">
        <f t="shared" si="28"/>
        <v>Afternoon</v>
      </c>
      <c r="M584" t="str">
        <f t="shared" si="29"/>
        <v>Rain</v>
      </c>
      <c r="N584">
        <f>IFERROR(VLOOKUP(A584,Dataset2!A:Z,8,FALSE),"")</f>
        <v>36</v>
      </c>
    </row>
    <row r="585" spans="1:14" x14ac:dyDescent="0.25">
      <c r="A585" s="1">
        <v>584</v>
      </c>
      <c r="B585" s="2">
        <v>40569</v>
      </c>
      <c r="C585" s="1">
        <v>1</v>
      </c>
      <c r="D585" s="1">
        <v>0</v>
      </c>
      <c r="E585" s="1">
        <v>1</v>
      </c>
      <c r="F585" s="1">
        <v>14</v>
      </c>
      <c r="G585" s="1" t="b">
        <v>0</v>
      </c>
      <c r="H585" s="1">
        <v>3</v>
      </c>
      <c r="I585" s="1">
        <v>3</v>
      </c>
      <c r="J585" s="1">
        <v>0.22</v>
      </c>
      <c r="K585" t="str">
        <f t="shared" si="27"/>
        <v>Weekday</v>
      </c>
      <c r="L585" t="str">
        <f t="shared" si="28"/>
        <v>Afternoon</v>
      </c>
      <c r="M585" t="str">
        <f t="shared" si="29"/>
        <v>Rain</v>
      </c>
      <c r="N585">
        <f>IFERROR(VLOOKUP(A585,Dataset2!A:Z,8,FALSE),"")</f>
        <v>43</v>
      </c>
    </row>
    <row r="586" spans="1:14" x14ac:dyDescent="0.25">
      <c r="A586" s="1">
        <v>585</v>
      </c>
      <c r="B586" s="2">
        <v>40569</v>
      </c>
      <c r="C586" s="1">
        <v>1</v>
      </c>
      <c r="D586" s="1">
        <v>0</v>
      </c>
      <c r="E586" s="1">
        <v>1</v>
      </c>
      <c r="F586" s="1">
        <v>15</v>
      </c>
      <c r="G586" s="1" t="b">
        <v>0</v>
      </c>
      <c r="H586" s="1">
        <v>3</v>
      </c>
      <c r="I586" s="1">
        <v>3</v>
      </c>
      <c r="J586" s="1">
        <v>0.22</v>
      </c>
      <c r="K586" t="str">
        <f t="shared" si="27"/>
        <v>Weekday</v>
      </c>
      <c r="L586" t="str">
        <f t="shared" si="28"/>
        <v>Afternoon</v>
      </c>
      <c r="M586" t="str">
        <f t="shared" si="29"/>
        <v>Rain</v>
      </c>
      <c r="N586">
        <f>IFERROR(VLOOKUP(A586,Dataset2!A:Z,8,FALSE),"")</f>
        <v>36</v>
      </c>
    </row>
    <row r="587" spans="1:14" x14ac:dyDescent="0.25">
      <c r="A587" s="1">
        <v>586</v>
      </c>
      <c r="B587" s="2">
        <v>40569</v>
      </c>
      <c r="C587" s="1">
        <v>1</v>
      </c>
      <c r="D587" s="1">
        <v>0</v>
      </c>
      <c r="E587" s="1">
        <v>1</v>
      </c>
      <c r="F587" s="1">
        <v>16</v>
      </c>
      <c r="G587" s="1" t="b">
        <v>0</v>
      </c>
      <c r="H587" s="1">
        <v>3</v>
      </c>
      <c r="I587" s="1">
        <v>4</v>
      </c>
      <c r="J587" s="1">
        <v>0.22</v>
      </c>
      <c r="K587" t="str">
        <f t="shared" si="27"/>
        <v>Weekday</v>
      </c>
      <c r="L587" t="str">
        <f t="shared" si="28"/>
        <v>Afternoon</v>
      </c>
      <c r="M587" t="str">
        <f t="shared" si="29"/>
        <v>Heavy Rain</v>
      </c>
      <c r="N587">
        <f>IFERROR(VLOOKUP(A587,Dataset2!A:Z,8,FALSE),"")</f>
        <v>26</v>
      </c>
    </row>
    <row r="588" spans="1:14" x14ac:dyDescent="0.25">
      <c r="A588" s="1">
        <v>587</v>
      </c>
      <c r="B588" s="2">
        <v>40569</v>
      </c>
      <c r="C588" s="1">
        <v>1</v>
      </c>
      <c r="D588" s="1">
        <v>0</v>
      </c>
      <c r="E588" s="1">
        <v>1</v>
      </c>
      <c r="F588" s="1">
        <v>17</v>
      </c>
      <c r="G588" s="1" t="b">
        <v>0</v>
      </c>
      <c r="H588" s="1">
        <v>3</v>
      </c>
      <c r="I588" s="1">
        <v>3</v>
      </c>
      <c r="J588" s="1">
        <v>0.2</v>
      </c>
      <c r="K588" t="str">
        <f t="shared" si="27"/>
        <v>Weekday</v>
      </c>
      <c r="L588" t="str">
        <f t="shared" si="28"/>
        <v>Afternoon</v>
      </c>
      <c r="M588" t="str">
        <f t="shared" si="29"/>
        <v>Rain</v>
      </c>
      <c r="N588">
        <f>IFERROR(VLOOKUP(A588,Dataset2!A:Z,8,FALSE),"")</f>
        <v>24</v>
      </c>
    </row>
    <row r="589" spans="1:14" x14ac:dyDescent="0.25">
      <c r="A589" s="1">
        <v>588</v>
      </c>
      <c r="B589" s="2">
        <v>40570</v>
      </c>
      <c r="C589" s="1">
        <v>1</v>
      </c>
      <c r="D589" s="1">
        <v>0</v>
      </c>
      <c r="E589" s="1">
        <v>1</v>
      </c>
      <c r="F589" s="1">
        <v>16</v>
      </c>
      <c r="G589" s="1" t="b">
        <v>0</v>
      </c>
      <c r="H589" s="1">
        <v>4</v>
      </c>
      <c r="I589" s="1">
        <v>1</v>
      </c>
      <c r="J589" s="1">
        <v>0.22</v>
      </c>
      <c r="K589" t="str">
        <f t="shared" si="27"/>
        <v>Weekday</v>
      </c>
      <c r="L589" t="str">
        <f t="shared" si="28"/>
        <v>Afternoon</v>
      </c>
      <c r="M589" t="str">
        <f t="shared" si="29"/>
        <v>Clear</v>
      </c>
      <c r="N589">
        <f>IFERROR(VLOOKUP(A589,Dataset2!A:Z,8,FALSE),"")</f>
        <v>84</v>
      </c>
    </row>
    <row r="590" spans="1:14" x14ac:dyDescent="0.25">
      <c r="A590" s="1">
        <v>589</v>
      </c>
      <c r="B590" s="2">
        <v>40570</v>
      </c>
      <c r="C590" s="1">
        <v>1</v>
      </c>
      <c r="D590" s="1">
        <v>0</v>
      </c>
      <c r="E590" s="1">
        <v>1</v>
      </c>
      <c r="F590" s="1">
        <v>17</v>
      </c>
      <c r="G590" s="1" t="b">
        <v>0</v>
      </c>
      <c r="H590" s="1">
        <v>4</v>
      </c>
      <c r="I590" s="1">
        <v>1</v>
      </c>
      <c r="J590" s="1">
        <v>0.22</v>
      </c>
      <c r="K590" t="str">
        <f t="shared" si="27"/>
        <v>Weekday</v>
      </c>
      <c r="L590" t="str">
        <f t="shared" si="28"/>
        <v>Afternoon</v>
      </c>
      <c r="M590" t="str">
        <f t="shared" si="29"/>
        <v>Clear</v>
      </c>
      <c r="N590">
        <f>IFERROR(VLOOKUP(A590,Dataset2!A:Z,8,FALSE),"")</f>
        <v>104</v>
      </c>
    </row>
    <row r="591" spans="1:14" x14ac:dyDescent="0.25">
      <c r="A591" s="1">
        <v>590</v>
      </c>
      <c r="B591" s="2">
        <v>40570</v>
      </c>
      <c r="C591" s="1">
        <v>1</v>
      </c>
      <c r="D591" s="1">
        <v>0</v>
      </c>
      <c r="E591" s="1">
        <v>1</v>
      </c>
      <c r="F591" s="1">
        <v>18</v>
      </c>
      <c r="G591" s="1" t="b">
        <v>0</v>
      </c>
      <c r="H591" s="1">
        <v>4</v>
      </c>
      <c r="I591" s="1">
        <v>1</v>
      </c>
      <c r="J591" s="1">
        <v>0.2</v>
      </c>
      <c r="K591" t="str">
        <f t="shared" si="27"/>
        <v>Weekday</v>
      </c>
      <c r="L591" t="str">
        <f t="shared" si="28"/>
        <v>Evening</v>
      </c>
      <c r="M591" t="str">
        <f t="shared" si="29"/>
        <v>Clear</v>
      </c>
      <c r="N591">
        <f>IFERROR(VLOOKUP(A591,Dataset2!A:Z,8,FALSE),"")</f>
        <v>79</v>
      </c>
    </row>
    <row r="592" spans="1:14" x14ac:dyDescent="0.25">
      <c r="A592" s="1">
        <v>591</v>
      </c>
      <c r="B592" s="2">
        <v>40570</v>
      </c>
      <c r="C592" s="1">
        <v>1</v>
      </c>
      <c r="D592" s="1">
        <v>0</v>
      </c>
      <c r="E592" s="1">
        <v>1</v>
      </c>
      <c r="F592" s="1">
        <v>19</v>
      </c>
      <c r="G592" s="1" t="b">
        <v>0</v>
      </c>
      <c r="H592" s="1">
        <v>4</v>
      </c>
      <c r="I592" s="1">
        <v>1</v>
      </c>
      <c r="J592" s="1">
        <v>0.2</v>
      </c>
      <c r="K592" t="str">
        <f t="shared" si="27"/>
        <v>Weekday</v>
      </c>
      <c r="L592" t="str">
        <f t="shared" si="28"/>
        <v>Evening</v>
      </c>
      <c r="M592" t="str">
        <f t="shared" si="29"/>
        <v>Clear</v>
      </c>
      <c r="N592">
        <f>IFERROR(VLOOKUP(A592,Dataset2!A:Z,8,FALSE),"")</f>
        <v>59</v>
      </c>
    </row>
    <row r="593" spans="1:14" x14ac:dyDescent="0.25">
      <c r="A593" s="1">
        <v>592</v>
      </c>
      <c r="B593" s="2">
        <v>40570</v>
      </c>
      <c r="C593" s="1">
        <v>1</v>
      </c>
      <c r="D593" s="1">
        <v>0</v>
      </c>
      <c r="E593" s="1">
        <v>1</v>
      </c>
      <c r="F593" s="1">
        <v>20</v>
      </c>
      <c r="G593" s="1" t="b">
        <v>0</v>
      </c>
      <c r="H593" s="1">
        <v>4</v>
      </c>
      <c r="I593" s="1">
        <v>1</v>
      </c>
      <c r="J593" s="1">
        <v>0.18</v>
      </c>
      <c r="K593" t="str">
        <f t="shared" si="27"/>
        <v>Weekday</v>
      </c>
      <c r="L593" t="str">
        <f t="shared" si="28"/>
        <v>Evening</v>
      </c>
      <c r="M593" t="str">
        <f t="shared" si="29"/>
        <v>Clear</v>
      </c>
      <c r="N593">
        <f>IFERROR(VLOOKUP(A593,Dataset2!A:Z,8,FALSE),"")</f>
        <v>38</v>
      </c>
    </row>
    <row r="594" spans="1:14" x14ac:dyDescent="0.25">
      <c r="A594" s="1">
        <v>593</v>
      </c>
      <c r="B594" s="2">
        <v>40570</v>
      </c>
      <c r="C594" s="1">
        <v>1</v>
      </c>
      <c r="D594" s="1">
        <v>0</v>
      </c>
      <c r="E594" s="1">
        <v>1</v>
      </c>
      <c r="F594" s="1">
        <v>21</v>
      </c>
      <c r="G594" s="1" t="b">
        <v>0</v>
      </c>
      <c r="H594" s="1">
        <v>4</v>
      </c>
      <c r="I594" s="1">
        <v>1</v>
      </c>
      <c r="J594" s="1">
        <v>0.18</v>
      </c>
      <c r="K594" t="str">
        <f t="shared" si="27"/>
        <v>Weekday</v>
      </c>
      <c r="L594" t="str">
        <f t="shared" si="28"/>
        <v>Evening</v>
      </c>
      <c r="M594" t="str">
        <f t="shared" si="29"/>
        <v>Clear</v>
      </c>
      <c r="N594">
        <f>IFERROR(VLOOKUP(A594,Dataset2!A:Z,8,FALSE),"")</f>
        <v>27</v>
      </c>
    </row>
    <row r="595" spans="1:14" x14ac:dyDescent="0.25">
      <c r="A595" s="1">
        <v>594</v>
      </c>
      <c r="B595" s="2">
        <v>40570</v>
      </c>
      <c r="C595" s="1">
        <v>1</v>
      </c>
      <c r="D595" s="1">
        <v>0</v>
      </c>
      <c r="E595" s="1">
        <v>1</v>
      </c>
      <c r="F595" s="1">
        <v>22</v>
      </c>
      <c r="G595" s="1" t="b">
        <v>0</v>
      </c>
      <c r="H595" s="1">
        <v>4</v>
      </c>
      <c r="I595" s="1">
        <v>1</v>
      </c>
      <c r="J595" s="1">
        <v>0.18</v>
      </c>
      <c r="K595" t="str">
        <f t="shared" si="27"/>
        <v>Weekday</v>
      </c>
      <c r="L595" t="str">
        <f t="shared" si="28"/>
        <v>Evening</v>
      </c>
      <c r="M595" t="str">
        <f t="shared" si="29"/>
        <v>Clear</v>
      </c>
      <c r="N595">
        <f>IFERROR(VLOOKUP(A595,Dataset2!A:Z,8,FALSE),"")</f>
        <v>16</v>
      </c>
    </row>
    <row r="596" spans="1:14" x14ac:dyDescent="0.25">
      <c r="A596" s="1">
        <v>595</v>
      </c>
      <c r="B596" s="2">
        <v>40570</v>
      </c>
      <c r="C596" s="1">
        <v>1</v>
      </c>
      <c r="D596" s="1">
        <v>0</v>
      </c>
      <c r="E596" s="1">
        <v>1</v>
      </c>
      <c r="F596" s="1">
        <v>23</v>
      </c>
      <c r="G596" s="1" t="b">
        <v>0</v>
      </c>
      <c r="H596" s="1">
        <v>4</v>
      </c>
      <c r="I596" s="1">
        <v>1</v>
      </c>
      <c r="J596" s="1">
        <v>0.18</v>
      </c>
      <c r="K596" t="str">
        <f t="shared" si="27"/>
        <v>Weekday</v>
      </c>
      <c r="L596" t="str">
        <f t="shared" si="28"/>
        <v>Evening</v>
      </c>
      <c r="M596" t="str">
        <f t="shared" si="29"/>
        <v>Clear</v>
      </c>
      <c r="N596">
        <f>IFERROR(VLOOKUP(A596,Dataset2!A:Z,8,FALSE),"")</f>
        <v>9</v>
      </c>
    </row>
    <row r="597" spans="1:14" x14ac:dyDescent="0.25">
      <c r="A597" s="1">
        <v>596</v>
      </c>
      <c r="B597" s="2">
        <v>40571</v>
      </c>
      <c r="C597" s="1">
        <v>1</v>
      </c>
      <c r="D597" s="1">
        <v>0</v>
      </c>
      <c r="E597" s="1">
        <v>1</v>
      </c>
      <c r="F597" s="1">
        <v>0</v>
      </c>
      <c r="G597" s="1" t="b">
        <v>0</v>
      </c>
      <c r="H597" s="1">
        <v>5</v>
      </c>
      <c r="I597" s="1">
        <v>2</v>
      </c>
      <c r="J597" s="1">
        <v>0.2</v>
      </c>
      <c r="K597" t="str">
        <f t="shared" si="27"/>
        <v>Weekday</v>
      </c>
      <c r="L597" t="str">
        <f t="shared" si="28"/>
        <v>Morning</v>
      </c>
      <c r="M597" t="str">
        <f t="shared" si="29"/>
        <v>cloudy</v>
      </c>
      <c r="N597">
        <f>IFERROR(VLOOKUP(A597,Dataset2!A:Z,8,FALSE),"")</f>
        <v>3</v>
      </c>
    </row>
    <row r="598" spans="1:14" x14ac:dyDescent="0.25">
      <c r="A598" s="1">
        <v>597</v>
      </c>
      <c r="B598" s="2">
        <v>40571</v>
      </c>
      <c r="C598" s="1">
        <v>1</v>
      </c>
      <c r="D598" s="1">
        <v>0</v>
      </c>
      <c r="E598" s="1">
        <v>1</v>
      </c>
      <c r="F598" s="1">
        <v>1</v>
      </c>
      <c r="G598" s="1" t="b">
        <v>0</v>
      </c>
      <c r="H598" s="1">
        <v>5</v>
      </c>
      <c r="I598" s="1">
        <v>2</v>
      </c>
      <c r="J598" s="1">
        <v>0.2</v>
      </c>
      <c r="K598" t="str">
        <f t="shared" si="27"/>
        <v>Weekday</v>
      </c>
      <c r="L598" t="str">
        <f t="shared" si="28"/>
        <v>Morning</v>
      </c>
      <c r="M598" t="str">
        <f t="shared" si="29"/>
        <v>cloudy</v>
      </c>
      <c r="N598">
        <f>IFERROR(VLOOKUP(A598,Dataset2!A:Z,8,FALSE),"")</f>
        <v>2</v>
      </c>
    </row>
    <row r="599" spans="1:14" x14ac:dyDescent="0.25">
      <c r="A599" s="1">
        <v>598</v>
      </c>
      <c r="B599" s="2">
        <v>40571</v>
      </c>
      <c r="C599" s="1">
        <v>1</v>
      </c>
      <c r="D599" s="1">
        <v>0</v>
      </c>
      <c r="E599" s="1">
        <v>1</v>
      </c>
      <c r="F599" s="1">
        <v>2</v>
      </c>
      <c r="G599" s="1" t="b">
        <v>0</v>
      </c>
      <c r="H599" s="1">
        <v>5</v>
      </c>
      <c r="I599" s="1">
        <v>2</v>
      </c>
      <c r="J599" s="1">
        <v>0.2</v>
      </c>
      <c r="K599" t="str">
        <f t="shared" si="27"/>
        <v>Weekday</v>
      </c>
      <c r="L599" t="str">
        <f t="shared" si="28"/>
        <v>Morning</v>
      </c>
      <c r="M599" t="str">
        <f t="shared" si="29"/>
        <v>cloudy</v>
      </c>
      <c r="N599">
        <f>IFERROR(VLOOKUP(A599,Dataset2!A:Z,8,FALSE),"")</f>
        <v>1</v>
      </c>
    </row>
    <row r="600" spans="1:14" x14ac:dyDescent="0.25">
      <c r="A600" s="1">
        <v>599</v>
      </c>
      <c r="B600" s="2">
        <v>40571</v>
      </c>
      <c r="C600" s="1">
        <v>1</v>
      </c>
      <c r="D600" s="1">
        <v>0</v>
      </c>
      <c r="E600" s="1">
        <v>1</v>
      </c>
      <c r="F600" s="1">
        <v>3</v>
      </c>
      <c r="G600" s="1" t="b">
        <v>0</v>
      </c>
      <c r="H600" s="1">
        <v>5</v>
      </c>
      <c r="I600" s="1">
        <v>2</v>
      </c>
      <c r="J600" s="1">
        <v>0.2</v>
      </c>
      <c r="K600" t="str">
        <f t="shared" si="27"/>
        <v>Weekday</v>
      </c>
      <c r="L600" t="str">
        <f t="shared" si="28"/>
        <v>Morning</v>
      </c>
      <c r="M600" t="str">
        <f t="shared" si="29"/>
        <v>cloudy</v>
      </c>
      <c r="N600">
        <f>IFERROR(VLOOKUP(A600,Dataset2!A:Z,8,FALSE),"")</f>
        <v>4</v>
      </c>
    </row>
    <row r="601" spans="1:14" x14ac:dyDescent="0.25">
      <c r="A601" s="1">
        <v>600</v>
      </c>
      <c r="B601" s="2">
        <v>40571</v>
      </c>
      <c r="C601" s="1">
        <v>1</v>
      </c>
      <c r="D601" s="1">
        <v>0</v>
      </c>
      <c r="E601" s="1">
        <v>1</v>
      </c>
      <c r="F601" s="1">
        <v>5</v>
      </c>
      <c r="G601" s="1" t="b">
        <v>0</v>
      </c>
      <c r="H601" s="1">
        <v>5</v>
      </c>
      <c r="I601" s="1">
        <v>2</v>
      </c>
      <c r="J601" s="1">
        <v>0.18</v>
      </c>
      <c r="K601" t="str">
        <f t="shared" si="27"/>
        <v>Weekday</v>
      </c>
      <c r="L601" t="str">
        <f t="shared" si="28"/>
        <v>Morning</v>
      </c>
      <c r="M601" t="str">
        <f t="shared" si="29"/>
        <v>cloudy</v>
      </c>
      <c r="N601">
        <f>IFERROR(VLOOKUP(A601,Dataset2!A:Z,8,FALSE),"")</f>
        <v>16</v>
      </c>
    </row>
    <row r="602" spans="1:14" x14ac:dyDescent="0.25">
      <c r="A602" s="1">
        <v>601</v>
      </c>
      <c r="B602" s="2">
        <v>40571</v>
      </c>
      <c r="C602" s="1">
        <v>1</v>
      </c>
      <c r="D602" s="1">
        <v>0</v>
      </c>
      <c r="E602" s="1">
        <v>1</v>
      </c>
      <c r="F602" s="1">
        <v>6</v>
      </c>
      <c r="G602" s="1" t="b">
        <v>0</v>
      </c>
      <c r="H602" s="1">
        <v>5</v>
      </c>
      <c r="I602" s="1">
        <v>2</v>
      </c>
      <c r="J602" s="1">
        <v>0.18</v>
      </c>
      <c r="K602" t="str">
        <f t="shared" si="27"/>
        <v>Weekday</v>
      </c>
      <c r="L602" t="str">
        <f t="shared" si="28"/>
        <v>Morning</v>
      </c>
      <c r="M602" t="str">
        <f t="shared" si="29"/>
        <v>cloudy</v>
      </c>
      <c r="N602">
        <f>IFERROR(VLOOKUP(A602,Dataset2!A:Z,8,FALSE),"")</f>
        <v>60</v>
      </c>
    </row>
    <row r="603" spans="1:14" x14ac:dyDescent="0.25">
      <c r="A603" s="1">
        <v>602</v>
      </c>
      <c r="B603" s="2">
        <v>40571</v>
      </c>
      <c r="C603" s="1">
        <v>1</v>
      </c>
      <c r="D603" s="1">
        <v>0</v>
      </c>
      <c r="E603" s="1">
        <v>1</v>
      </c>
      <c r="F603" s="1">
        <v>7</v>
      </c>
      <c r="G603" s="1" t="b">
        <v>0</v>
      </c>
      <c r="H603" s="1">
        <v>5</v>
      </c>
      <c r="I603" s="1">
        <v>2</v>
      </c>
      <c r="J603" s="1">
        <v>0.16</v>
      </c>
      <c r="K603" t="str">
        <f t="shared" si="27"/>
        <v>Weekday</v>
      </c>
      <c r="L603" t="str">
        <f t="shared" si="28"/>
        <v>Morning</v>
      </c>
      <c r="M603" t="str">
        <f t="shared" si="29"/>
        <v>cloudy</v>
      </c>
      <c r="N603">
        <f>IFERROR(VLOOKUP(A603,Dataset2!A:Z,8,FALSE),"")</f>
        <v>157</v>
      </c>
    </row>
    <row r="604" spans="1:14" x14ac:dyDescent="0.25">
      <c r="A604" s="1">
        <v>603</v>
      </c>
      <c r="B604" s="2">
        <v>40571</v>
      </c>
      <c r="C604" s="1">
        <v>1</v>
      </c>
      <c r="D604" s="1">
        <v>0</v>
      </c>
      <c r="E604" s="1">
        <v>1</v>
      </c>
      <c r="F604" s="1">
        <v>8</v>
      </c>
      <c r="G604" s="1" t="b">
        <v>0</v>
      </c>
      <c r="H604" s="1">
        <v>5</v>
      </c>
      <c r="I604" s="1">
        <v>2</v>
      </c>
      <c r="J604" s="1">
        <v>0.16</v>
      </c>
      <c r="K604" t="str">
        <f t="shared" si="27"/>
        <v>Weekday</v>
      </c>
      <c r="L604" t="str">
        <f t="shared" si="28"/>
        <v>Morning</v>
      </c>
      <c r="M604" t="str">
        <f t="shared" si="29"/>
        <v>cloudy</v>
      </c>
      <c r="N604">
        <f>IFERROR(VLOOKUP(A604,Dataset2!A:Z,8,FALSE),"")</f>
        <v>101</v>
      </c>
    </row>
    <row r="605" spans="1:14" x14ac:dyDescent="0.25">
      <c r="A605" s="1">
        <v>604</v>
      </c>
      <c r="B605" s="2">
        <v>40571</v>
      </c>
      <c r="C605" s="1">
        <v>1</v>
      </c>
      <c r="D605" s="1">
        <v>0</v>
      </c>
      <c r="E605" s="1">
        <v>1</v>
      </c>
      <c r="F605" s="1">
        <v>9</v>
      </c>
      <c r="G605" s="1" t="b">
        <v>0</v>
      </c>
      <c r="H605" s="1">
        <v>5</v>
      </c>
      <c r="I605" s="1">
        <v>3</v>
      </c>
      <c r="J605" s="1">
        <v>0.18</v>
      </c>
      <c r="K605" t="str">
        <f t="shared" si="27"/>
        <v>Weekday</v>
      </c>
      <c r="L605" t="str">
        <f t="shared" si="28"/>
        <v>Morning</v>
      </c>
      <c r="M605" t="str">
        <f t="shared" si="29"/>
        <v>Rain</v>
      </c>
      <c r="N605">
        <f>IFERROR(VLOOKUP(A605,Dataset2!A:Z,8,FALSE),"")</f>
        <v>49</v>
      </c>
    </row>
    <row r="606" spans="1:14" x14ac:dyDescent="0.25">
      <c r="A606" s="1">
        <v>605</v>
      </c>
      <c r="B606" s="2">
        <v>40571</v>
      </c>
      <c r="C606" s="1">
        <v>1</v>
      </c>
      <c r="D606" s="1">
        <v>0</v>
      </c>
      <c r="E606" s="1">
        <v>1</v>
      </c>
      <c r="F606" s="1">
        <v>10</v>
      </c>
      <c r="G606" s="1" t="b">
        <v>0</v>
      </c>
      <c r="H606" s="1">
        <v>5</v>
      </c>
      <c r="I606" s="1">
        <v>3</v>
      </c>
      <c r="J606" s="1">
        <v>0.18</v>
      </c>
      <c r="K606" t="str">
        <f t="shared" si="27"/>
        <v>Weekday</v>
      </c>
      <c r="L606" t="str">
        <f t="shared" si="28"/>
        <v>Morning</v>
      </c>
      <c r="M606" t="str">
        <f t="shared" si="29"/>
        <v>Rain</v>
      </c>
      <c r="N606">
        <f>IFERROR(VLOOKUP(A606,Dataset2!A:Z,8,FALSE),"")</f>
        <v>30</v>
      </c>
    </row>
    <row r="607" spans="1:14" x14ac:dyDescent="0.25">
      <c r="A607" s="1">
        <v>606</v>
      </c>
      <c r="B607" s="2">
        <v>40571</v>
      </c>
      <c r="C607" s="1">
        <v>1</v>
      </c>
      <c r="D607" s="1">
        <v>0</v>
      </c>
      <c r="E607" s="1">
        <v>1</v>
      </c>
      <c r="F607" s="1">
        <v>11</v>
      </c>
      <c r="G607" s="1" t="b">
        <v>0</v>
      </c>
      <c r="H607" s="1">
        <v>5</v>
      </c>
      <c r="I607" s="1">
        <v>3</v>
      </c>
      <c r="J607" s="1">
        <v>0.18</v>
      </c>
      <c r="K607" t="str">
        <f t="shared" si="27"/>
        <v>Weekday</v>
      </c>
      <c r="L607" t="str">
        <f t="shared" si="28"/>
        <v>Morning</v>
      </c>
      <c r="M607" t="str">
        <f t="shared" si="29"/>
        <v>Rain</v>
      </c>
      <c r="N607">
        <f>IFERROR(VLOOKUP(A607,Dataset2!A:Z,8,FALSE),"")</f>
        <v>29</v>
      </c>
    </row>
    <row r="608" spans="1:14" x14ac:dyDescent="0.25">
      <c r="A608" s="1">
        <v>607</v>
      </c>
      <c r="B608" s="2">
        <v>40571</v>
      </c>
      <c r="C608" s="1">
        <v>1</v>
      </c>
      <c r="D608" s="1">
        <v>0</v>
      </c>
      <c r="E608" s="1">
        <v>1</v>
      </c>
      <c r="F608" s="1">
        <v>12</v>
      </c>
      <c r="G608" s="1" t="b">
        <v>0</v>
      </c>
      <c r="H608" s="1">
        <v>5</v>
      </c>
      <c r="I608" s="1">
        <v>3</v>
      </c>
      <c r="J608" s="1">
        <v>0.18</v>
      </c>
      <c r="K608" t="str">
        <f t="shared" si="27"/>
        <v>Weekday</v>
      </c>
      <c r="L608" t="str">
        <f t="shared" si="28"/>
        <v>Afternoon</v>
      </c>
      <c r="M608" t="str">
        <f t="shared" si="29"/>
        <v>Rain</v>
      </c>
      <c r="N608">
        <f>IFERROR(VLOOKUP(A608,Dataset2!A:Z,8,FALSE),"")</f>
        <v>31</v>
      </c>
    </row>
    <row r="609" spans="1:14" x14ac:dyDescent="0.25">
      <c r="A609" s="1">
        <v>608</v>
      </c>
      <c r="B609" s="2">
        <v>40571</v>
      </c>
      <c r="C609" s="1">
        <v>1</v>
      </c>
      <c r="D609" s="1">
        <v>0</v>
      </c>
      <c r="E609" s="1">
        <v>1</v>
      </c>
      <c r="F609" s="1">
        <v>13</v>
      </c>
      <c r="G609" s="1" t="b">
        <v>0</v>
      </c>
      <c r="H609" s="1">
        <v>5</v>
      </c>
      <c r="I609" s="1">
        <v>3</v>
      </c>
      <c r="J609" s="1">
        <v>0.18</v>
      </c>
      <c r="K609" t="str">
        <f t="shared" si="27"/>
        <v>Weekday</v>
      </c>
      <c r="L609" t="str">
        <f t="shared" si="28"/>
        <v>Afternoon</v>
      </c>
      <c r="M609" t="str">
        <f t="shared" si="29"/>
        <v>Rain</v>
      </c>
      <c r="N609">
        <f>IFERROR(VLOOKUP(A609,Dataset2!A:Z,8,FALSE),"")</f>
        <v>38</v>
      </c>
    </row>
    <row r="610" spans="1:14" x14ac:dyDescent="0.25">
      <c r="A610" s="1">
        <v>609</v>
      </c>
      <c r="B610" s="2">
        <v>40571</v>
      </c>
      <c r="C610" s="1">
        <v>1</v>
      </c>
      <c r="D610" s="1">
        <v>0</v>
      </c>
      <c r="E610" s="1">
        <v>1</v>
      </c>
      <c r="F610" s="1">
        <v>14</v>
      </c>
      <c r="G610" s="1" t="b">
        <v>0</v>
      </c>
      <c r="H610" s="1">
        <v>5</v>
      </c>
      <c r="I610" s="1">
        <v>3</v>
      </c>
      <c r="J610" s="1">
        <v>0.22</v>
      </c>
      <c r="K610" t="str">
        <f t="shared" si="27"/>
        <v>Weekday</v>
      </c>
      <c r="L610" t="str">
        <f t="shared" si="28"/>
        <v>Afternoon</v>
      </c>
      <c r="M610" t="str">
        <f t="shared" si="29"/>
        <v>Rain</v>
      </c>
      <c r="N610">
        <f>IFERROR(VLOOKUP(A610,Dataset2!A:Z,8,FALSE),"")</f>
        <v>41</v>
      </c>
    </row>
    <row r="611" spans="1:14" x14ac:dyDescent="0.25">
      <c r="A611" s="1">
        <v>610</v>
      </c>
      <c r="B611" s="2">
        <v>40571</v>
      </c>
      <c r="C611" s="1">
        <v>1</v>
      </c>
      <c r="D611" s="1">
        <v>0</v>
      </c>
      <c r="E611" s="1">
        <v>1</v>
      </c>
      <c r="F611" s="1">
        <v>15</v>
      </c>
      <c r="G611" s="1" t="b">
        <v>0</v>
      </c>
      <c r="H611" s="1">
        <v>5</v>
      </c>
      <c r="I611" s="1">
        <v>2</v>
      </c>
      <c r="J611" s="1">
        <v>0.2</v>
      </c>
      <c r="K611" t="str">
        <f t="shared" si="27"/>
        <v>Weekday</v>
      </c>
      <c r="L611" t="str">
        <f t="shared" si="28"/>
        <v>Afternoon</v>
      </c>
      <c r="M611" t="str">
        <f t="shared" si="29"/>
        <v>cloudy</v>
      </c>
      <c r="N611" t="str">
        <f>IFERROR(VLOOKUP(A611,Dataset2!A:Z,8,FALSE),"")</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Dataset3</vt:lpstr>
      <vt:lpstr>Dataset2</vt:lpstr>
      <vt:lpstr>Sheet4</vt:lpstr>
      <vt:lpstr>Sheet5</vt:lpstr>
      <vt:lpstr>Dashboard</vt:lpstr>
      <vt:lpstr>Sheet7</vt:lpstr>
      <vt:lpstr>Sheet8</vt:lpstr>
      <vt:lpstr>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Gautanm</dc:creator>
  <cp:lastModifiedBy>Harshita Gautam</cp:lastModifiedBy>
  <cp:lastPrinted>2026-03-25T08:26:16Z</cp:lastPrinted>
  <dcterms:created xsi:type="dcterms:W3CDTF">2026-03-24T11:41:58Z</dcterms:created>
  <dcterms:modified xsi:type="dcterms:W3CDTF">2026-03-25T08:29:59Z</dcterms:modified>
</cp:coreProperties>
</file>